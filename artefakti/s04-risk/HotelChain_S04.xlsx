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6c7e1a7fd4f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и" sheetId="1" r:id="Rb1fc7145392b4bdc"/>
    <x:sheet xmlns:r="http://schemas.openxmlformats.org/officeDocument/2006/relationships" name="Скали" sheetId="2" r:id="Rd487457b17f44db6"/>
    <x:sheet xmlns:r="http://schemas.openxmlformats.org/officeDocument/2006/relationships" name="Регистър на активите" sheetId="3" r:id="R959aca202b6943bb"/>
    <x:sheet xmlns:r="http://schemas.openxmlformats.org/officeDocument/2006/relationships" name="Регистър на риска" sheetId="4" r:id="Rc96ce829089c47f1"/>
    <x:sheet xmlns:r="http://schemas.openxmlformats.org/officeDocument/2006/relationships" name="План за третиране" sheetId="5" r:id="R230a25f3a0a3426e"/>
  </x:sheets>
</x:workbook>
</file>

<file path=xl/comments1.xml><?xml version="1.0" encoding="utf-8"?>
<x:comments xmlns:x="http://schemas.openxmlformats.org/spreadsheetml/2006/main">
  <x:authors>
    <x:author>pkirkov</x:author>
  </x:authors>
  <x:commentList>
    <x:comment ref="G1" authorId="0">
      <x:text>
        <x:r>
          <x:t>pkirkov:
Probability / Вероятност</x:t>
        </x:r>
      </x:text>
    </x:comment>
    <x:comment ref="H1" authorId="0">
      <x:text>
        <x:r>
          <x:t>pkirkov:
Impact / Въздействие
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<x:sst xmlns:x="http://schemas.openxmlformats.org/spreadsheetml/2006/main">
  <x:si>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МИС — инструмент за риска (инвентаризация, оценка на риска, план за третиране)</x:t>
  </x:si>
  <x:si>
    <x:t xml:space="preserve">Ред на попълване: 1) Регистър на активите → 2) Регистър на риска → 3) План за третиране.</x:t>
  </x:si>
  <x:si>
    <x:t xml:space="preserve">Цветове:</x:t>
  </x:si>
  <x:si>
    <x:t xml:space="preserve">   • Жълтите клетки ги попълваш ти.</x:t>
  </x:si>
  <x:si>
    <x:t xml:space="preserve">   • Сивите се изчисляват автоматично — НЕ ги пипай (Риск, Ниво, Приемлив, Остатъчен риск, Първонач. риск в плана).</x:t>
  </x:si>
  <x:si>
    <x:t xml:space="preserve">Правила, които се проверяват:</x:t>
  </x:si>
  <x:si>
    <x:t xml:space="preserve">   • Собственикът на актив е ДЛЪЖНОСТ, не име на човек.</x:t>
  </x:si>
  <x:si>
    <x:t xml:space="preserve">   • Въздействието е НАЙ-ВИСОКОТО от четирите измерения (работа, данни, финанси/право, репутация), не средното. Виж лист „Скали“.</x:t>
  </x:si>
  <x:si>
    <x:t xml:space="preserve">   • Риск апетитът е ЧИСЛО (лист „Скали“, клетка B1, по подразбиране 9). Можеш да го смениш, но с обосновка за сектора на фирмата.</x:t>
  </x:si>
  <x:si>
    <x:t xml:space="preserve">   • Всеки риск сочи конкретен A-ID и има едновременно заплаха И уязвимост. „Хакерска атака“ не е риск.</x:t>
  </x:si>
  <x:si>
    <x:t xml:space="preserve">   • Стойностите трябва да имат дистрибуция — ако всичко е 5 или всичко е 1, не е оценявано.</x:t>
  </x:si>
  <x:si>
    <x:t xml:space="preserve">Как работи автоматиката:</x:t>
  </x:si>
  <x:si>
    <x:t xml:space="preserve">   • Риск = Probablity × Impact. Ниво и Приемлив се пресмятат сами от Риск и от апетита.</x:t>
  </x:si>
  <x:si>
    <x:t xml:space="preserve">   • В Плана за третиране „Първонач. риск“ се тегли автоматично от Регистъра на риска по R-ID.</x:t>
  </x:si>
  <x:si>
    <x:t xml:space="preserve">   • Остатъчен риск = Остат. Probability × Остат. Impact; попълва се, когато контролът се внедри.</x:t>
  </x:si>
  <x:si>
    <x:t xml:space="preserve">Минимум за предаване: ≥12 актива, ≥12 оценени риска, план за третиране на всички неприемливи рискове.</x:t>
  </x:si>
  <x:si>
    <x:t xml:space="preserve">РИСК АПЕТИТ (число, по подразбиране 9 — сменя се с обосновка):</x:t>
  </x:si>
  <x:si>
    <x:t xml:space="preserve">Всичко с риск НАД тази стойност е неприемливо и влиза в План за третиране.</x:t>
  </x:si>
  <x:si>
    <x:t xml:space="preserve">СКАЛА ЗА ВЕРОЯТНОСТ (1–5, по честота)</x:t>
  </x:si>
  <x:si>
    <x:t xml:space="preserve">1 Много ниска</x:t>
  </x:si>
  <x:si>
    <x:t xml:space="preserve">по-рядко от веднъж на 10 години, теоретично</x:t>
  </x:si>
  <x:si>
    <x:t xml:space="preserve">2 Ниска</x:t>
  </x:si>
  <x:si>
    <x:t xml:space="preserve">веднъж на няколко години в сектора</x:t>
  </x:si>
  <x:si>
    <x:t xml:space="preserve">3 Средна</x:t>
  </x:si>
  <x:si>
    <x:t xml:space="preserve">веднъж на няколко години в подобна организация</x:t>
  </x:si>
  <x:si>
    <x:t xml:space="preserve">4 Висока</x:t>
  </x:si>
  <x:si>
    <x:t xml:space="preserve">очаква се при текущата защита, поне веднъж годишно</x:t>
  </x:si>
  <x:si>
    <x:t xml:space="preserve">5 Много висока</x:t>
  </x:si>
  <x:si>
    <x:t xml:space="preserve">вече се случва или опити постоянно</x:t>
  </x:si>
  <x:si>
    <x:t xml:space="preserve">СКАЛА ЗА ВЪЗДЕЙСТВИЕ (1–5) — взима се НАЙ-ВИСОКОТО от 4-те измерения</x:t>
  </x:si>
  <x:si>
    <x:t xml:space="preserve">Ниво</x:t>
  </x:si>
  <x:si>
    <x:t xml:space="preserve">Работа на услугата</x:t>
  </x:si>
  <x:si>
    <x:t xml:space="preserve">Данни</x:t>
  </x:si>
  <x:si>
    <x:t xml:space="preserve">Финанси и право</x:t>
  </x:si>
  <x:si>
    <x:t xml:space="preserve">Репутация</x:t>
  </x:si>
  <x:si>
    <x:t xml:space="preserve">1 Нищожно</x:t>
  </x:si>
  <x:si>
    <x:t xml:space="preserve">без забележимо прекъсване</x:t>
  </x:si>
  <x:si>
    <x:t xml:space="preserve">без загуба/разкриване</x:t>
  </x:si>
  <x:si>
    <x:t xml:space="preserve">пренебрежими разходи</x:t>
  </x:si>
  <x:si>
    <x:t xml:space="preserve">без отзвук</x:t>
  </x:si>
  <x:si>
    <x:t xml:space="preserve">2 Малко</x:t>
  </x:si>
  <x:si>
    <x:t xml:space="preserve">прекъсване до половин ден за част</x:t>
  </x:si>
  <x:si>
    <x:t xml:space="preserve">възстановимо от архив</x:t>
  </x:si>
  <x:si>
    <x:t xml:space="preserve">в рамките на бюджета</x:t>
  </x:si>
  <x:si>
    <x:t xml:space="preserve">отделни оплаквания</x:t>
  </x:si>
  <x:si>
    <x:t xml:space="preserve">3 Средно</x:t>
  </x:si>
  <x:si>
    <x:t xml:space="preserve">до един ден на основна услуга</x:t>
  </x:si>
  <x:si>
    <x:t xml:space="preserve">загуба до RPO/вътрешна инфо</x:t>
  </x:si>
  <x:si>
    <x:t xml:space="preserve">неустойки, извънредни разходи</x:t>
  </x:si>
  <x:si>
    <x:t xml:space="preserve">локална публичност</x:t>
  </x:si>
  <x:si>
    <x:t xml:space="preserve">4 Голямо</x:t>
  </x:si>
  <x:si>
    <x:t xml:space="preserve">над ден или всички потребители</x:t>
  </x:si>
  <x:si>
    <x:t xml:space="preserve">лични/поверителни данни</x:t>
  </x:si>
  <x:si>
    <x:t xml:space="preserve">надзорен орган, санкции</x:t>
  </x:si>
  <x:si>
    <x:t xml:space="preserve">национална публичност</x:t>
  </x:si>
  <x:si>
    <x:t xml:space="preserve">5 Критично</x:t>
  </x:si>
  <x:si>
    <x:t xml:space="preserve">спиране, живот и здраве, КИ</x:t>
  </x:si>
  <x:si>
    <x:t xml:space="preserve">масово/невъзстановимо</x:t>
  </x:si>
  <x:si>
    <x:t xml:space="preserve">лиценз, наказателна отг.</x:t>
  </x:si>
  <x:si>
    <x:t xml:space="preserve">трайна загуба на доверие</x:t>
  </x:si>
  <x:si>
    <x:t xml:space="preserve">НИВА НА РИСК (вероятност × въздействие)</x:t>
  </x:si>
  <x:si>
    <x:t xml:space="preserve">Стойност</x:t>
  </x:si>
  <x:si>
    <x:t xml:space="preserve">Цвят</x:t>
  </x:si>
  <x:si>
    <x:t xml:space="preserve">Срок за третиране</x:t>
  </x:si>
  <x:si>
    <x:t xml:space="preserve">Нисък</x:t>
  </x:si>
  <x:si>
    <x:t xml:space="preserve">1–4</x:t>
  </x:si>
  <x:si>
    <x:t xml:space="preserve">приема се / наблюдава се</x:t>
  </x:si>
  <x:si>
    <x:t xml:space="preserve">Умерен</x:t>
  </x:si>
  <x:si>
    <x:t xml:space="preserve">5–9</x:t>
  </x:si>
  <x:si>
    <x:t xml:space="preserve">наблюдава се</x:t>
  </x:si>
  <x:si>
    <x:t xml:space="preserve">Висок</x:t>
  </x:si>
  <x:si>
    <x:t xml:space="preserve">10–15</x:t>
  </x:si>
  <x:si>
    <x:t xml:space="preserve">третира се до 90 дни</x:t>
  </x:si>
  <x:si>
    <x:t xml:space="preserve">Критичен</x:t>
  </x:si>
  <x:si>
    <x:t xml:space="preserve">16–25</x:t>
  </x:si>
  <x:si>
    <x:t xml:space="preserve">третира се до 30 дни, временна мярка до 7 дни</x:t>
  </x:si>
  <x:si>
    <x:t xml:space="preserve">ВАРИАНТИ ЗА ТРЕТИРАНЕ</x:t>
  </x:si>
  <x:si>
    <x:t xml:space="preserve">Намаляване</x:t>
  </x:si>
  <x:si>
    <x:t xml:space="preserve">контрол, който сваля вероятността или въздействието</x:t>
  </x:si>
  <x:si>
    <x:t xml:space="preserve">Прехвърляне</x:t>
  </x:si>
  <x:si>
    <x:t xml:space="preserve">застраховка или договорна клауза; какво остава непрехвърлено</x:t>
  </x:si>
  <x:si>
    <x:t xml:space="preserve">Избягване</x:t>
  </x:si>
  <x:si>
    <x:t xml:space="preserve">спиране на дейността, която носи риска</x:t>
  </x:si>
  <x:si>
    <x:t xml:space="preserve">Приемане</x:t>
  </x:si>
  <x:si>
    <x:t xml:space="preserve">рискът е под апетита или третирането струва повече от щетата; кой приема, с длъжност и дата</x:t>
  </x:si>
  <x:si>
    <x:t xml:space="preserve">A-ID</x:t>
  </x:si>
  <x:si>
    <x:t xml:space="preserve">Наименование</x:t>
  </x:si>
  <x:si>
    <x:t xml:space="preserve">Тип</x:t>
  </x:si>
  <x:si>
    <x:t xml:space="preserve">Собственик (длъжност)</x:t>
  </x:si>
  <x:si>
    <x:t xml:space="preserve">Оператор</x:t>
  </x:si>
  <x:si>
    <x:t xml:space="preserve">Класификация</x:t>
  </x:si>
  <x:si>
    <x:t xml:space="preserve">Локация</x:t>
  </x:si>
  <x:si>
    <x:t xml:space="preserve">Зависимости</x:t>
  </x:si>
  <x:si>
    <x:t xml:space="preserve">Забележка</x:t>
  </x:si>
  <x:si>
    <x:t xml:space="preserve">R-ID</x:t>
  </x:si>
  <x:si>
    <x:t xml:space="preserve">Заплаха ( MITTRE ATT&amp;CK техника)</x:t>
  </x:si>
  <x:si>
    <x:t xml:space="preserve">Уязвимост</x:t>
  </x:si>
  <x:si>
    <x:t xml:space="preserve">Сценарий (изречение)</x:t>
  </x:si>
  <x:si>
    <x:t xml:space="preserve">Съществуващи контроли</x:t>
  </x:si>
  <x:si>
    <x:t xml:space="preserve">P</x:t>
  </x:si>
  <x:si>
    <x:t xml:space="preserve">I</x:t>
  </x:si>
  <x:si>
    <x:t xml:space="preserve">Риск</x:t>
  </x:si>
  <x:si>
    <x:t xml:space="preserve">Приемлив</x:t>
  </x:si>
  <x:si>
    <x:t xml:space="preserve">Третиране</x:t>
  </x:si>
  <x:si>
    <x:t xml:space="preserve">Отговорник (длъжност)</x:t>
  </x:si>
  <x:si>
    <x:t xml:space="preserve">Срок</x:t>
  </x:si>
  <x:si>
    <x:t xml:space="preserve">Час</x:t>
  </x:si>
  <x:si>
    <x:t xml:space="preserve">Остат. P</x:t>
  </x:si>
  <x:si>
    <x:t xml:space="preserve">Остат. I</x:t>
  </x:si>
  <x:si>
    <x:t xml:space="preserve">Остат. риск</x:t>
  </x:si>
  <x:si>
    <x:t xml:space="preserve">Доказателство</x:t>
  </x:si>
  <x:si>
    <x:t xml:space="preserve">A-ID (актив)</x:t>
  </x:si>
  <x:si>
    <x:t xml:space="preserve">Кратко описание на риска</x:t>
  </x:si>
  <x:si>
    <x:t xml:space="preserve">Първонач. риск</x:t>
  </x:si>
  <x:si>
    <x:t xml:space="preserve">Вариант за третиране</x:t>
  </x:si>
  <x:si>
    <x:t xml:space="preserve">Планиран контрол</x:t>
  </x:si>
  <x:si>
    <x:t xml:space="preserve">Annex A код</x:t>
  </x:si>
  <x:si>
    <x:t xml:space="preserve">Час от курса</x:t>
  </x:si>
  <x:si>
    <x:t xml:space="preserve">Статус</x:t>
  </x:si>
  <x:si>
    <x:t xml:space="preserve">Остат. В</x:t>
  </x:si>
  <x:si>
    <x:t xml:space="preserve">Остат. Въ</x:t>
  </x:si>
  <x:si>
    <x:t xml:space="preserve">Доказателство / артефакт</x:t>
  </x:si>
</x:sst>
</file>

<file path=xl/styles.xml><?xml version="1.0" encoding="utf-8"?>
<x:styleSheet xmlns:x="http://schemas.openxmlformats.org/spreadsheetml/2006/main">
  <x:fonts count="13">
    <x:font>
      <x:sz val="11"/>
      <x:color theme="1"/>
      <x:name val="Calibri"/>
    </x:font>
    <x:font>
      <x:b/>
      <x:sz val="14"/>
      <x:color rgb="FFFFFFFF"/>
      <x:name val="Arial"/>
    </x:font>
    <x:font>
      <x:sz val="11"/>
      <x:name val="Arial"/>
    </x:font>
    <x:font>
      <x:b/>
      <x:sz val="11"/>
      <x:name val="Arial"/>
    </x:font>
    <x:font>
      <x:b/>
      <x:sz val="10"/>
      <x:name val="Arial"/>
    </x:font>
    <x:font>
      <x:b/>
      <x:sz val="12"/>
      <x:name val="Arial"/>
    </x:font>
    <x:font>
      <x:sz val="9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  <x:font>
      <x:sz val="9"/>
      <x:color indexed="81"/>
      <x:name val="Tahoma"/>
    </x:font>
    <x:font>
      <x:b/>
      <x:sz val="9"/>
      <x:color indexed="81"/>
      <x:name val="Tahoma"/>
    </x:font>
    <x:font>
      <x:b/>
      <x:sz val="11"/>
      <x:color rgb="FFFFFFFF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rgb="FFFFD08A"/>
      </x:patternFill>
    </x:fill>
    <x:fill>
      <x:patternFill patternType="solid">
        <x:fgColor rgb="FFFFC7CE"/>
      </x:patternFill>
    </x:fill>
    <x:fill>
      <x:patternFill patternType="solid">
        <x:fgColor rgb="FFF2F2F2"/>
      </x:patternFill>
    </x:fill>
    <x:fill>
      <x:patternFill patternType="solid">
        <x:fgColor rgb="FF21375A"/>
      </x:patternFill>
    </x:fill>
  </x:fills>
  <x:borders count="4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1" fillId="2" borderId="0" xfId="0" applyFont="1" applyFill="1" applyAlignment="1">
      <x:alignment vertical="top" wrapText="1"/>
    </x:xf>
    <x:xf numFmtId="0" fontId="2" fillId="0" borderId="0" xfId="0" applyFont="1" applyAlignment="1">
      <x:alignment vertical="top" wrapText="1"/>
    </x:xf>
    <x:xf numFmtId="0" fontId="3" fillId="0" borderId="0" xfId="0" applyFont="1" applyAlignment="1">
      <x:alignment vertical="top" wrapText="1"/>
    </x:xf>
    <x:xf numFmtId="0" fontId="3" fillId="3" borderId="0" xfId="0" applyFont="1" applyFill="1" applyAlignment="1">
      <x:alignment vertical="top" wrapText="1"/>
    </x:xf>
    <x:xf numFmtId="0" fontId="4" fillId="0" borderId="0" xfId="0" applyFont="1" applyAlignment="1">
      <x:alignment vertical="top" wrapText="1"/>
    </x:xf>
    <x:xf numFmtId="0" fontId="5" fillId="3" borderId="1" xfId="0" applyFont="1" applyFill="1" applyBorder="1"/>
    <x:xf numFmtId="0" fontId="6" fillId="0" borderId="0" xfId="0" applyFont="1" applyAlignment="1">
      <x:alignment vertical="top" wrapText="1"/>
    </x:xf>
    <x:xf numFmtId="0" fontId="7" fillId="2" borderId="0" xfId="0" applyFont="1" applyFill="1" applyAlignment="1">
      <x:alignment vertical="top" wrapText="1"/>
    </x:xf>
    <x:xf numFmtId="0" fontId="8" fillId="0" borderId="0" xfId="0" applyFont="1" applyAlignment="1">
      <x:alignment vertical="top" wrapText="1"/>
    </x:xf>
    <x:xf numFmtId="0" fontId="4" fillId="4" borderId="0" xfId="0" applyFont="1" applyFill="1" applyAlignment="1">
      <x:alignment vertical="top" wrapText="1"/>
    </x:xf>
    <x:xf numFmtId="0" fontId="0" fillId="5" borderId="0" xfId="0" applyFill="1"/>
    <x:xf numFmtId="0" fontId="0" fillId="6" borderId="0" xfId="0" applyFill="1"/>
    <x:xf numFmtId="0" fontId="0" fillId="7" borderId="0" xfId="0" applyFill="1"/>
    <x:xf numFmtId="0" fontId="0" fillId="8" borderId="0" xfId="0" applyFill="1"/>
    <x:xf numFmtId="0" fontId="9" fillId="2" borderId="1" xfId="0" applyFont="1" applyFill="1" applyBorder="1" applyAlignment="1">
      <x:alignment horizontal="center" vertical="center" wrapText="1"/>
    </x:xf>
    <x:xf numFmtId="0" fontId="8" fillId="3" borderId="1" xfId="0" applyFont="1" applyFill="1" applyBorder="1" applyAlignment="1">
      <x:alignment vertical="top" wrapText="1"/>
    </x:xf>
    <x:xf numFmtId="0" fontId="8" fillId="9" borderId="1" xfId="0" applyFont="1" applyFill="1" applyBorder="1" applyAlignment="1">
      <x:alignment vertical="top" wrapText="1"/>
    </x:xf>
    <x:xf numFmtId="0" fontId="8" fillId="4" borderId="1" xfId="0" applyFont="1" applyFill="1" applyBorder="1" applyAlignment="1">
      <x:alignment vertical="top" wrapText="1"/>
    </x:xf>
    <x:xf numFmtId="0" fontId="8" fillId="4" borderId="1" xfId="0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/>
    <x:xf numFmtId="0" fontId="6" fillId="0" borderId="2" xfId="0" applyNumberFormat="1" applyFont="1" applyFill="1" applyBorder="1" applyAlignment="1">
      <x:alignment vertical="top" wrapText="1"/>
    </x:xf>
    <x:xf numFmtId="0" fontId="7" fillId="2" borderId="2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/>
    <x:xf numFmtId="0" fontId="0" fillId="6" borderId="2" xfId="0" applyNumberFormat="1" applyFont="1" applyFill="1" applyBorder="1"/>
    <x:xf numFmtId="0" fontId="0" fillId="7" borderId="2" xfId="0" applyNumberFormat="1" applyFont="1" applyFill="1" applyBorder="1"/>
    <x:xf numFmtId="0" fontId="0" fillId="8" borderId="2" xfId="0" applyNumberFormat="1" applyFont="1" applyFill="1" applyBorder="1"/>
    <x:xf numFmtId="0" fontId="9" fillId="2" borderId="3" xfId="0" applyNumberFormat="1" applyFont="1" applyFill="1" applyBorder="1" applyAlignment="1">
      <x:alignment horizontal="center" vertical="center" wrapText="1"/>
    </x:xf>
    <x:xf numFmtId="0" fontId="8" fillId="3" borderId="3" xfId="0" applyNumberFormat="1" applyFont="1" applyFill="1" applyBorder="1" applyAlignment="1">
      <x:alignment vertical="top" wrapText="1"/>
    </x:xf>
    <x:xf numFmtId="0" fontId="8" fillId="9" borderId="3" xfId="0" applyNumberFormat="1" applyFont="1" applyFill="1" applyBorder="1" applyAlignment="1">
      <x:alignment vertical="top" wrapText="1"/>
    </x:xf>
    <x:xf numFmtId="0" fontId="8" fillId="4" borderId="3" xfId="0" applyNumberFormat="1" applyFont="1" applyFill="1" applyBorder="1" applyAlignment="1">
      <x:alignment vertical="top" wrapText="1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8" fillId="3" borderId="1" xfId="0" applyNumberFormat="1" applyFont="1" applyFill="1" applyBorder="1" applyAlignment="1">
      <x:alignment vertical="top" wrapText="1"/>
    </x:xf>
    <x:xf numFmtId="0" fontId="8" fillId="9" borderId="1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6">
    <x:dxf>
      <x:fill>
        <x:patternFill>
          <x:bgColor rgb="FFFFC7CE"/>
        </x:patternFill>
      </x:fill>
    </x:dxf>
    <x:dxf>
      <x:fill>
        <x:patternFill>
          <x:bgColor rgb="FFFFD08A"/>
        </x:patternFill>
      </x:fill>
    </x:dxf>
    <x:dxf>
      <x:fill>
        <x:patternFill>
          <x:bgColor rgb="FFFFEB9C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FD08A"/>
        </x:patternFill>
      </x:fill>
    </x:dxf>
    <x:dxf>
      <x:fill>
        <x:patternFill>
          <x:bgColor rgb="FFFFEB9C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FD08A"/>
        </x:patternFill>
      </x:fill>
    </x:dxf>
    <x:dxf>
      <x:fill>
        <x:patternFill>
          <x:bgColor rgb="FFFFEB9C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FD08A"/>
        </x:patternFill>
      </x:fill>
    </x:dxf>
    <x:dxf>
      <x:fill>
        <x:patternFill>
          <x:bgColor rgb="FFFFEB9C"/>
        </x:patternFill>
      </x:fill>
    </x:dxf>
    <x:dxf>
      <x:fill>
        <x:patternFill>
          <x:bgColor rgb="FFC6EFCE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F2F2F2"/>
      <x:rgbColor rgb="FF660066"/>
      <x:rgbColor rgb="FFFF8080"/>
      <x:rgbColor rgb="FF0066CC"/>
      <x:rgbColor rgb="FFFFC7C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7E6E6"/>
      <x:rgbColor rgb="FFC6EFCE"/>
      <x:rgbColor rgb="FFFFEB9C"/>
      <x:rgbColor rgb="FF99CCFF"/>
      <x:rgbColor rgb="FFFF99CC"/>
      <x:rgbColor rgb="FFCC99FF"/>
      <x:rgbColor rgb="FFFFD08A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8648bfe0c943c9" /><Relationship Type="http://schemas.openxmlformats.org/officeDocument/2006/relationships/theme" Target="/xl/theme/theme1.xml" Id="R04e6055d4b0e4874" /><Relationship Type="http://schemas.openxmlformats.org/officeDocument/2006/relationships/sharedStrings" Target="/xl/sharedStrings.xml" Id="R98e024deef2b478b" /><Relationship Type="http://schemas.openxmlformats.org/officeDocument/2006/relationships/worksheet" Target="/xl/worksheets/sheet1.xml" Id="Rb1fc7145392b4bdc" /><Relationship Type="http://schemas.openxmlformats.org/officeDocument/2006/relationships/worksheet" Target="/xl/worksheets/sheet2.xml" Id="Rd487457b17f44db6" /><Relationship Type="http://schemas.openxmlformats.org/officeDocument/2006/relationships/worksheet" Target="/xl/worksheets/sheet3.xml" Id="R959aca202b6943bb" /><Relationship Type="http://schemas.openxmlformats.org/officeDocument/2006/relationships/worksheet" Target="/xl/worksheets/sheet4.xml" Id="Rc96ce829089c47f1" /><Relationship Type="http://schemas.openxmlformats.org/officeDocument/2006/relationships/worksheet" Target="/xl/worksheets/sheet5.xml" Id="R230a25f3a0a3426e" /><Relationship Type="http://schemas.microsoft.com/office/2017/10/relationships/person" Target="/xl/persons/person.xml" Id="Ra601c9969ccc4435" /></Relationships>
</file>

<file path=xl/persons/person.xml><?xml version="1.0" encoding="utf-8"?>
<xltc:personList xmlns:xltc="http://schemas.microsoft.com/office/spreadsheetml/2018/threadedcomments">
  <xltc:person displayName="pkirkov" id="{7FF434EE-1AFC-054D-2EE7-575693C8B2A5}"/>
</xltc: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440d0ebbb1e740c2" /><Relationship Type="http://schemas.openxmlformats.org/officeDocument/2006/relationships/vmlDrawing" Target="/xl/drawings/vmldrawing.vml" Id="R91f367b3e73440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7109375" defaultRowHeight="15"/>
  <x:cols>
    <x:col min="1" max="1" width="110" customWidth="1"/>
  </x:cols>
  <x:sheetData>
    <x:row r="1" ht="36">
      <x:c r="A1" s="1" t="s">
        <x:v>0</x:v>
      </x:c>
    </x:row>
    <x:row r="2">
      <x:c r="A2" s="2"/>
    </x:row>
    <x:row r="3">
      <x:c r="A3" s="3" t="s">
        <x:v>1</x:v>
      </x:c>
    </x:row>
    <x:row r="4">
      <x:c r="A4" s="2"/>
    </x:row>
    <x:row r="5">
      <x:c r="A5" s="3" t="s">
        <x:v>2</x:v>
      </x:c>
    </x:row>
    <x:row r="6">
      <x:c r="A6" s="2" t="s">
        <x:v>3</x:v>
      </x:c>
    </x:row>
    <x:row r="7" ht="28.5">
      <x:c r="A7" s="2" t="s">
        <x:v>4</x:v>
      </x:c>
    </x:row>
    <x:row r="8">
      <x:c r="A8" s="2" t="str">
        <x:v>   • Примерните редове са заменени с данните за HotelChain Sofia AD.</x:v>
      </x:c>
    </x:row>
    <x:row r="9">
      <x:c r="A9" s="2"/>
    </x:row>
    <x:row r="10">
      <x:c r="A10" s="3" t="s">
        <x:v>5</x:v>
      </x:c>
    </x:row>
    <x:row r="11">
      <x:c r="A11" s="2" t="s">
        <x:v>6</x:v>
      </x:c>
    </x:row>
    <x:row r="12" ht="28.5">
      <x:c r="A12" s="2" t="s">
        <x:v>7</x:v>
      </x:c>
    </x:row>
    <x:row r="13" ht="28.5">
      <x:c r="A13" s="2" t="s">
        <x:v>8</x:v>
      </x:c>
    </x:row>
    <x:row r="14">
      <x:c r="A14" s="2" t="s">
        <x:v>9</x:v>
      </x:c>
    </x:row>
    <x:row r="15">
      <x:c r="A15" s="2" t="s">
        <x:v>10</x:v>
      </x:c>
    </x:row>
    <x:row r="16">
      <x:c r="A16" s="2"/>
    </x:row>
    <x:row r="17">
      <x:c r="A17" s="3" t="s">
        <x:v>11</x:v>
      </x:c>
    </x:row>
    <x:row r="18">
      <x:c r="A18" s="2" t="s">
        <x:v>12</x:v>
      </x:c>
    </x:row>
    <x:row r="19">
      <x:c r="A19" s="2" t="s">
        <x:v>13</x:v>
      </x:c>
    </x:row>
    <x:row r="20">
      <x:c r="A20" s="2" t="s">
        <x:v>14</x:v>
      </x:c>
    </x:row>
    <x:row r="21">
      <x:c r="A21" s="2"/>
    </x:row>
    <x:row r="22" ht="30">
      <x:c r="A22" s="4" t="s">
        <x:v>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7109375" defaultRowHeight="15"/>
  <x:cols>
    <x:col min="1" max="1" width="20" hidden="0" customWidth="1"/>
    <x:col min="2" max="2" width="82" hidden="0" customWidth="1"/>
    <x:col min="3" max="4" width="20" customWidth="1"/>
    <x:col min="5" max="5" width="26" customWidth="1"/>
  </x:cols>
  <x:sheetData>
    <x:row r="1" ht="38.25">
      <x:c r="A1" s="5" t="s">
        <x:v>16</x:v>
      </x:c>
      <x:c r="B1" s="6">
        <x:v>9</x:v>
      </x:c>
    </x:row>
    <x:row r="2" ht="36">
      <x:c r="A2" s="7" t="s">
        <x:v>17</x:v>
      </x:c>
    </x:row>
    <x:row r="4" ht="30">
      <x:c r="A4" s="8" t="s">
        <x:v>18</x:v>
      </x:c>
    </x:row>
    <x:row r="5">
      <x:c r="A5" s="5" t="s">
        <x:v>19</x:v>
      </x:c>
      <x:c r="B5" s="9" t="s">
        <x:v>20</x:v>
      </x:c>
    </x:row>
    <x:row r="6">
      <x:c r="A6" s="5" t="s">
        <x:v>21</x:v>
      </x:c>
      <x:c r="B6" s="9" t="s">
        <x:v>22</x:v>
      </x:c>
    </x:row>
    <x:row r="7">
      <x:c r="A7" s="5" t="s">
        <x:v>23</x:v>
      </x:c>
      <x:c r="B7" s="9" t="s">
        <x:v>24</x:v>
      </x:c>
    </x:row>
    <x:row r="8" ht="25.5">
      <x:c r="A8" s="5" t="s">
        <x:v>25</x:v>
      </x:c>
      <x:c r="B8" s="9" t="s">
        <x:v>26</x:v>
      </x:c>
    </x:row>
    <x:row r="9">
      <x:c r="A9" s="5" t="s">
        <x:v>27</x:v>
      </x:c>
      <x:c r="B9" s="9" t="s">
        <x:v>28</x:v>
      </x:c>
    </x:row>
    <x:row r="11" ht="45">
      <x:c r="A11" s="8" t="s">
        <x:v>29</x:v>
      </x:c>
    </x:row>
    <x:row r="12">
      <x:c r="A12" s="10" t="s">
        <x:v>30</x:v>
      </x:c>
      <x:c r="B12" s="10" t="s">
        <x:v>31</x:v>
      </x:c>
      <x:c r="C12" s="10" t="s">
        <x:v>32</x:v>
      </x:c>
      <x:c r="D12" s="10" t="s">
        <x:v>33</x:v>
      </x:c>
      <x:c r="E12" s="10" t="s">
        <x:v>34</x:v>
      </x:c>
    </x:row>
    <x:row r="13" ht="25.5">
      <x:c r="A13" s="5" t="s">
        <x:v>35</x:v>
      </x:c>
      <x:c r="B13" s="9" t="s">
        <x:v>36</x:v>
      </x:c>
      <x:c r="C13" s="9" t="s">
        <x:v>37</x:v>
      </x:c>
      <x:c r="D13" s="9" t="s">
        <x:v>38</x:v>
      </x:c>
      <x:c r="E13" s="9" t="s">
        <x:v>39</x:v>
      </x:c>
    </x:row>
    <x:row r="14" ht="25.5">
      <x:c r="A14" s="5" t="s">
        <x:v>40</x:v>
      </x:c>
      <x:c r="B14" s="9" t="s">
        <x:v>41</x:v>
      </x:c>
      <x:c r="C14" s="9" t="s">
        <x:v>42</x:v>
      </x:c>
      <x:c r="D14" s="9" t="s">
        <x:v>43</x:v>
      </x:c>
      <x:c r="E14" s="9" t="s">
        <x:v>44</x:v>
      </x:c>
    </x:row>
    <x:row r="15" ht="25.5">
      <x:c r="A15" s="5" t="s">
        <x:v>45</x:v>
      </x:c>
      <x:c r="B15" s="9" t="s">
        <x:v>46</x:v>
      </x:c>
      <x:c r="C15" s="9" t="s">
        <x:v>47</x:v>
      </x:c>
      <x:c r="D15" s="9" t="s">
        <x:v>48</x:v>
      </x:c>
      <x:c r="E15" s="9" t="s">
        <x:v>49</x:v>
      </x:c>
    </x:row>
    <x:row r="16" ht="25.5">
      <x:c r="A16" s="5" t="s">
        <x:v>50</x:v>
      </x:c>
      <x:c r="B16" s="9" t="s">
        <x:v>51</x:v>
      </x:c>
      <x:c r="C16" s="9" t="s">
        <x:v>52</x:v>
      </x:c>
      <x:c r="D16" s="9" t="s">
        <x:v>53</x:v>
      </x:c>
      <x:c r="E16" s="9" t="s">
        <x:v>54</x:v>
      </x:c>
    </x:row>
    <x:row r="17" ht="25.5">
      <x:c r="A17" s="5" t="s">
        <x:v>55</x:v>
      </x:c>
      <x:c r="B17" s="9" t="s">
        <x:v>56</x:v>
      </x:c>
      <x:c r="C17" s="9" t="s">
        <x:v>57</x:v>
      </x:c>
      <x:c r="D17" s="9" t="s">
        <x:v>58</x:v>
      </x:c>
      <x:c r="E17" s="9" t="s">
        <x:v>59</x:v>
      </x:c>
    </x:row>
    <x:row r="19" ht="30">
      <x:c r="A19" s="8" t="s">
        <x:v>60</x:v>
      </x:c>
    </x:row>
    <x:row r="20">
      <x:c r="A20" s="10" t="s">
        <x:v>30</x:v>
      </x:c>
      <x:c r="B20" s="10" t="s">
        <x:v>61</x:v>
      </x:c>
      <x:c r="C20" s="10" t="s">
        <x:v>62</x:v>
      </x:c>
      <x:c r="D20" s="10" t="s">
        <x:v>63</x:v>
      </x:c>
    </x:row>
    <x:row r="21" ht="25.5">
      <x:c r="A21" s="5" t="s">
        <x:v>64</x:v>
      </x:c>
      <x:c r="B21" s="9" t="s">
        <x:v>65</x:v>
      </x:c>
      <x:c r="C21" s="11"/>
      <x:c r="D21" s="9" t="s">
        <x:v>66</x:v>
      </x:c>
    </x:row>
    <x:row r="22">
      <x:c r="A22" s="5" t="s">
        <x:v>67</x:v>
      </x:c>
      <x:c r="B22" s="9" t="s">
        <x:v>68</x:v>
      </x:c>
      <x:c r="C22" s="12"/>
      <x:c r="D22" s="9" t="s">
        <x:v>69</x:v>
      </x:c>
    </x:row>
    <x:row r="23">
      <x:c r="A23" s="5" t="s">
        <x:v>70</x:v>
      </x:c>
      <x:c r="B23" s="9" t="s">
        <x:v>71</x:v>
      </x:c>
      <x:c r="C23" s="13"/>
      <x:c r="D23" s="9" t="s">
        <x:v>72</x:v>
      </x:c>
    </x:row>
    <x:row r="24" ht="38.25">
      <x:c r="A24" s="5" t="s">
        <x:v>73</x:v>
      </x:c>
      <x:c r="B24" s="9" t="s">
        <x:v>74</x:v>
      </x:c>
      <x:c r="C24" s="14"/>
      <x:c r="D24" s="9" t="s">
        <x:v>75</x:v>
      </x:c>
    </x:row>
    <x:row r="26">
      <x:c r="A26" s="8" t="s">
        <x:v>76</x:v>
      </x:c>
    </x:row>
    <x:row r="27" ht="25.5">
      <x:c r="A27" s="5" t="s">
        <x:v>77</x:v>
      </x:c>
      <x:c r="B27" s="9" t="s">
        <x:v>78</x:v>
      </x:c>
    </x:row>
    <x:row r="28" ht="25.5">
      <x:c r="A28" s="5" t="s">
        <x:v>79</x:v>
      </x:c>
      <x:c r="B28" s="9" t="s">
        <x:v>80</x:v>
      </x:c>
    </x:row>
    <x:row r="29">
      <x:c r="A29" s="5" t="s">
        <x:v>81</x:v>
      </x:c>
      <x:c r="B29" s="9" t="s">
        <x:v>82</x:v>
      </x:c>
    </x:row>
    <x:row r="30" ht="25.5">
      <x:c r="A30" s="5" t="s">
        <x:v>83</x:v>
      </x:c>
      <x:c r="B30" s="9" t="s">
        <x:v>84</x:v>
      </x:c>
    </x:row>
    <x:row r="32" ht="36" customHeight="1">
      <x:c r="A32" s="60" t="str">
        <x:v>Контекст на оценката</x:v>
      </x:c>
      <x:c r="B32" s="61" t="str">
        <x:v>HotelChain Sofia AD — учебен фирмен сценарий; 28.10.2026 г.</x:v>
      </x:c>
    </x:row>
    <x:row r="33" ht="36" customHeight="1">
      <x:c r="A33" s="60" t="str">
        <x:v>Основа</x:v>
      </x:c>
      <x:c r="B33" s="61" t="str">
        <x:v>МИС фирмени сценарии, сценарий 7; ТУЕС МИС управление на риска; резултати от s02.</x:v>
      </x:c>
    </x:row>
    <x:row r="34" ht="36" customHeight="1">
      <x:c r="A34" s="60" t="str">
        <x:v>Допускане</x:v>
      </x:c>
      <x:c r="B34" s="61" t="str">
        <x:v>Вероятностите и въздействията са експертни оценки за учебен сценарий; реално внедряване на мерките не е потвърдено.</x:v>
      </x:c>
    </x:row>
    <x:row r="35" ht="36" customHeight="1">
      <x:c r="A35" s="60" t="str">
        <x:v>Приемане</x:v>
      </x:c>
      <x:c r="B35" s="61" t="str">
        <x:v>R-11 и R-12 са в рамките на апетита, но приемането им изисква решение от ръководството.</x:v>
      </x:c>
    </x:row>
    <x:row r="36" ht="36" customHeight="1">
      <x:c r="A36" s="60" t="str">
        <x:v>MITRE източник</x:v>
      </x:c>
      <x:c r="B36" s="61" t="str">
        <x:v>https://attack.mitre.org/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109375" defaultRowHeight="15"/>
  <x:cols>
    <x:col min="1" max="1" width="11" hidden="0" customWidth="1"/>
    <x:col min="2" max="2" width="46" hidden="0" customWidth="1"/>
    <x:col min="3" max="3" width="17" hidden="0" customWidth="1"/>
    <x:col min="4" max="5" width="22" customWidth="1"/>
    <x:col min="6" max="6" width="22" hidden="0" customWidth="1"/>
    <x:col min="7" max="7" width="28" hidden="0" customWidth="1"/>
    <x:col min="8" max="8" width="23" hidden="0" customWidth="1"/>
    <x:col min="9" max="9" width="45" hidden="0" customWidth="1"/>
    <x:col min="4" max="4" width="30" hidden="0" customWidth="1"/>
    <x:col min="5" max="5" width="29" hidden="0" customWidth="1"/>
  </x:cols>
  <x:sheetData>
    <x:row r="1" ht="46" customHeight="1">
      <x:c r="A1" s="39" t="s">
        <x:v>85</x:v>
      </x:c>
      <x:c r="B1" s="39" t="s">
        <x:v>86</x:v>
      </x:c>
      <x:c r="C1" s="39" t="s">
        <x:v>87</x:v>
      </x:c>
      <x:c r="D1" s="39" t="s">
        <x:v>88</x:v>
      </x:c>
      <x:c r="E1" s="39" t="s">
        <x:v>89</x:v>
      </x:c>
      <x:c r="F1" s="39" t="s">
        <x:v>90</x:v>
      </x:c>
      <x:c r="G1" s="39" t="s">
        <x:v>91</x:v>
      </x:c>
      <x:c r="H1" s="39" t="s">
        <x:v>92</x:v>
      </x:c>
      <x:c r="I1" s="39" t="s">
        <x:v>93</x:v>
      </x:c>
    </x:row>
    <x:row r="2" ht="48" customHeight="1">
      <x:c r="A2" s="40" t="str">
        <x:v>A-01</x:v>
      </x:c>
      <x:c r="B2" s="40" t="str">
        <x:v>Reservation DB (MySQL, 3306)</x:v>
      </x:c>
      <x:c r="C2" s="40" t="str">
        <x:v>софтуер</x:v>
      </x:c>
      <x:c r="D2" s="40" t="str">
        <x:v>Ръководител резервации</x:v>
      </x:c>
      <x:c r="E2" s="40" t="str">
        <x:v>Администратор бази данни</x:v>
      </x:c>
      <x:c r="F2" s="40" t="str">
        <x:v>строго поверителна</x:v>
      </x:c>
      <x:c r="G2" s="40" t="str">
        <x:v>София HQ, 10.60.0.10</x:v>
      </x:c>
      <x:c r="H2" s="40" t="str">
        <x:v>A-06, A-09, A-12</x:v>
      </x:c>
      <x:c r="I2" s="41" t="str">
        <x:v>Централна база за хотелските резервации</x:v>
      </x:c>
    </x:row>
    <x:row r="3" ht="48" customHeight="1">
      <x:c r="A3" s="40" t="str">
        <x:v>A-02</x:v>
      </x:c>
      <x:c r="B3" s="40" t="str">
        <x:v>Резервации и лични данни на гостите</x:v>
      </x:c>
      <x:c r="C3" s="40" t="str">
        <x:v>информация</x:v>
      </x:c>
      <x:c r="D3" s="40" t="str">
        <x:v>Ръководител резервации</x:v>
      </x:c>
      <x:c r="E3" s="40" t="str">
        <x:v>Администратор бази данни</x:v>
      </x:c>
      <x:c r="F3" s="40" t="str">
        <x:v>строго поверителна</x:v>
      </x:c>
      <x:c r="G3" s="40" t="str">
        <x:v>Reservation DB в София</x:v>
      </x:c>
      <x:c r="H3" s="40" t="str">
        <x:v>A-01, A-10</x:v>
      </x:c>
      <x:c r="I3" s="41" t="str">
        <x:v>Имена, контакти и информация за престой</x:v>
      </x:c>
    </x:row>
    <x:row r="4" ht="48" customHeight="1">
      <x:c r="A4" s="40" t="str">
        <x:v>A-03</x:v>
      </x:c>
      <x:c r="B4" s="40" t="str">
        <x:v>PMS системи в хотелите</x:v>
      </x:c>
      <x:c r="C4" s="40" t="str">
        <x:v>софтуер</x:v>
      </x:c>
      <x:c r="D4" s="40" t="str">
        <x:v>Оперативен директор</x:v>
      </x:c>
      <x:c r="E4" s="40" t="str">
        <x:v>Системен администратор</x:v>
      </x:c>
      <x:c r="F4" s="40" t="str">
        <x:v>поверителна</x:v>
      </x:c>
      <x:c r="G4" s="40" t="str">
        <x:v>София, Банско, Несебър</x:v>
      </x:c>
      <x:c r="H4" s="40" t="str">
        <x:v>A-01, A-08, A-09</x:v>
      </x:c>
      <x:c r="I4" s="41" t="str">
        <x:v>Използват се от рецепциите</x:v>
      </x:c>
    </x:row>
    <x:row r="5" ht="48" customHeight="1">
      <x:c r="A5" s="40" t="str">
        <x:v>A-04</x:v>
      </x:c>
      <x:c r="B5" s="40" t="str">
        <x:v>Публичен уеб портал (443)</x:v>
      </x:c>
      <x:c r="C5" s="40" t="str">
        <x:v>софтуер</x:v>
      </x:c>
      <x:c r="D5" s="40" t="str">
        <x:v>Мениджър обслужване на гости</x:v>
      </x:c>
      <x:c r="E5" s="40" t="str">
        <x:v>Уеб администратор</x:v>
      </x:c>
      <x:c r="F5" s="40" t="str">
        <x:v>публична</x:v>
      </x:c>
      <x:c r="G5" s="40" t="str">
        <x:v>DMZ / гостов портал</x:v>
      </x:c>
      <x:c r="H5" s="40" t="str">
        <x:v>A-06, A-11</x:v>
      </x:c>
      <x:c r="I5" s="41" t="str">
        <x:v>Гостите могат само да разглеждат информация</x:v>
      </x:c>
    </x:row>
    <x:row r="6" ht="48" customHeight="1">
      <x:c r="A6" s="40" t="str">
        <x:v>A-05</x:v>
      </x:c>
      <x:c r="B6" s="40" t="str">
        <x:v>Guest Wi-Fi gateway</x:v>
      </x:c>
      <x:c r="C6" s="40" t="str">
        <x:v>хардуер</x:v>
      </x:c>
      <x:c r="D6" s="40" t="str">
        <x:v>Управител на хотела в Несебър</x:v>
      </x:c>
      <x:c r="E6" s="40" t="str">
        <x:v>Мрежов администратор</x:v>
      </x:c>
      <x:c r="F6" s="40" t="str">
        <x:v>вътрешна</x:v>
      </x:c>
      <x:c r="G6" s="40" t="str">
        <x:v>Несебър, 192.168.100.1</x:v>
      </x:c>
      <x:c r="H6" s="40" t="str">
        <x:v>A-06, A-08</x:v>
      </x:c>
      <x:c r="I6" s="41" t="str">
        <x:v>Отделна мрежа за гостите</x:v>
      </x:c>
    </x:row>
    <x:row r="7" ht="48" customHeight="1">
      <x:c r="A7" s="40" t="str">
        <x:v>A-06</x:v>
      </x:c>
      <x:c r="B7" s="40" t="str">
        <x:v>Firewall / Gateway (gw)</x:v>
      </x:c>
      <x:c r="C7" s="40" t="str">
        <x:v>мрежа</x:v>
      </x:c>
      <x:c r="D7" s="40" t="str">
        <x:v>Ръководител ИТ</x:v>
      </x:c>
      <x:c r="E7" s="40" t="str">
        <x:v>Мрежов администратор</x:v>
      </x:c>
      <x:c r="F7" s="40" t="str">
        <x:v>поверителна</x:v>
      </x:c>
      <x:c r="G7" s="40" t="str">
        <x:v>София, 10.60.0.1</x:v>
      </x:c>
      <x:c r="H7" s="40" t="str">
        <x:v>A-09</x:v>
      </x:c>
      <x:c r="I7" s="41" t="str">
        <x:v>Отговаря за правилата и маршрутизацията</x:v>
      </x:c>
    </x:row>
    <x:row r="8" ht="48" customHeight="1">
      <x:c r="A8" s="40" t="str">
        <x:v>A-07</x:v>
      </x:c>
      <x:c r="B8" s="40" t="str">
        <x:v>Работни станции на рецепциите</x:v>
      </x:c>
      <x:c r="C8" s="40" t="str">
        <x:v>хардуер</x:v>
      </x:c>
      <x:c r="D8" s="40" t="str">
        <x:v>Управител на съответния хотел</x:v>
      </x:c>
      <x:c r="E8" s="40" t="str">
        <x:v>Системен администратор</x:v>
      </x:c>
      <x:c r="F8" s="40" t="str">
        <x:v>вътрешна</x:v>
      </x:c>
      <x:c r="G8" s="40" t="str">
        <x:v>Хотелските обекти</x:v>
      </x:c>
      <x:c r="H8" s="40" t="str">
        <x:v>A-03, A-08</x:v>
      </x:c>
      <x:c r="I8" s="41" t="str">
        <x:v>Компютри на хотелския персонал</x:v>
      </x:c>
    </x:row>
    <x:row r="9" ht="48" customHeight="1">
      <x:c r="A9" s="40" t="str">
        <x:v>A-08</x:v>
      </x:c>
      <x:c r="B9" s="40" t="str">
        <x:v>Вътрешни LAN мрежи</x:v>
      </x:c>
      <x:c r="C9" s="40" t="str">
        <x:v>мрежа</x:v>
      </x:c>
      <x:c r="D9" s="40" t="str">
        <x:v>Оперативен директор</x:v>
      </x:c>
      <x:c r="E9" s="40" t="str">
        <x:v>Мрежов администратор</x:v>
      </x:c>
      <x:c r="F9" s="40" t="str">
        <x:v>вътрешна</x:v>
      </x:c>
      <x:c r="G9" s="40" t="str">
        <x:v>Хотелските обекти</x:v>
      </x:c>
      <x:c r="H9" s="40" t="str">
        <x:v>A-06, A-09</x:v>
      </x:c>
      <x:c r="I9" s="40" t="str">
        <x:v>Мрежи за служителите</x:v>
      </x:c>
    </x:row>
    <x:row r="10" ht="48" customHeight="1">
      <x:c r="A10" s="40" t="str">
        <x:v>A-09</x:v>
      </x:c>
      <x:c r="B10" s="40" t="str">
        <x:v>Връзка между хотелите и централата</x:v>
      </x:c>
      <x:c r="C10" s="40" t="str">
        <x:v>услуга</x:v>
      </x:c>
      <x:c r="D10" s="40" t="str">
        <x:v>Ръководител ИТ</x:v>
      </x:c>
      <x:c r="E10" s="40" t="str">
        <x:v>Мрежов администратор</x:v>
      </x:c>
      <x:c r="F10" s="40" t="str">
        <x:v>вътрешна</x:v>
      </x:c>
      <x:c r="G10" s="40" t="str">
        <x:v>София и хотелите</x:v>
      </x:c>
      <x:c r="H10" s="40" t="str">
        <x:v>A-06</x:v>
      </x:c>
      <x:c r="I10" s="40" t="str">
        <x:v>Чрез нея хотелите достъпват базата</x:v>
      </x:c>
    </x:row>
    <x:row r="11" ht="48" customHeight="1">
      <x:c r="A11" s="40" t="str">
        <x:v>A-10</x:v>
      </x:c>
      <x:c r="B11" s="40" t="str">
        <x:v>Потребителски акаунти и пароли</x:v>
      </x:c>
      <x:c r="C11" s="40" t="str">
        <x:v>информация</x:v>
      </x:c>
      <x:c r="D11" s="40" t="str">
        <x:v>Ръководител ИТ</x:v>
      </x:c>
      <x:c r="E11" s="40" t="str">
        <x:v>Системен администратор</x:v>
      </x:c>
      <x:c r="F11" s="40" t="str">
        <x:v>поверителна</x:v>
      </x:c>
      <x:c r="G11" s="40" t="str">
        <x:v>Всички системи</x:v>
      </x:c>
      <x:c r="H11" s="40" t="str">
        <x:v>A-01, A-03, A-04</x:v>
      </x:c>
      <x:c r="I11" s="40" t="str">
        <x:v>Рецепция, администрация и гости</x:v>
      </x:c>
    </x:row>
    <x:row r="12" ht="48" customHeight="1">
      <x:c r="A12" s="40" t="str">
        <x:v>A-11</x:v>
      </x:c>
      <x:c r="B12" s="40" t="str">
        <x:v>TLS сертификати и частни ключове</x:v>
      </x:c>
      <x:c r="C12" s="40" t="str">
        <x:v>информация</x:v>
      </x:c>
      <x:c r="D12" s="40" t="str">
        <x:v>Ръководител ИТ</x:v>
      </x:c>
      <x:c r="E12" s="40" t="str">
        <x:v>Уеб администратор</x:v>
      </x:c>
      <x:c r="F12" s="40" t="str">
        <x:v>поверителна</x:v>
      </x:c>
      <x:c r="G12" s="40" t="str">
        <x:v>Публичен портал / DMZ</x:v>
      </x:c>
      <x:c r="H12" s="40" t="str">
        <x:v>A-04</x:v>
      </x:c>
      <x:c r="I12" s="40" t="str">
        <x:v>Нужни са за защитен HTTPS достъп</x:v>
      </x:c>
    </x:row>
    <x:row r="13" ht="48" customHeight="1">
      <x:c r="A13" s="40" t="str">
        <x:v>A-12</x:v>
      </x:c>
      <x:c r="B13" s="40" t="str">
        <x:v>Виртуален сървър srv</x:v>
      </x:c>
      <x:c r="C13" s="40" t="str">
        <x:v>софтуер</x:v>
      </x:c>
      <x:c r="D13" s="40" t="str">
        <x:v>Ръководител ИТ</x:v>
      </x:c>
      <x:c r="E13" s="40" t="str">
        <x:v>Системен администратор</x:v>
      </x:c>
      <x:c r="F13" s="40" t="str">
        <x:v>поверителна</x:v>
      </x:c>
      <x:c r="G13" s="40" t="str">
        <x:v>LAN1, 10.60.0.10</x:v>
      </x:c>
      <x:c r="H13" s="40" t="str">
        <x:v>A-01, A-06</x:v>
      </x:c>
      <x:c r="I13" s="40" t="str">
        <x:v>В лабораторията на него работи Nginx</x:v>
      </x:c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</x:row>
  </x:sheetData>
  <x:dataValidations count="2">
    <x:dataValidation type="list" allowBlank="1" sqref="C2:C210">
      <x:formula1>"информация,софтуер,хардуер,услуга,мрежа,хора,помещение"</x:formula1>
      <x:formula2>0</x:formula2>
    </x:dataValidation>
    <x:dataValidation type="list" allowBlank="1" sqref="F2:F210">
      <x:formula1>"публична,вътрешна,поверителна,строго поверителна"</x:formula1>
      <x:formula2>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109375" defaultRowHeight="15"/>
  <x:cols>
    <x:col min="1" max="1" width="9" hidden="0" customWidth="1"/>
    <x:col min="2" max="2" width="10" hidden="0" customWidth="1"/>
    <x:col min="3" max="3" width="40" hidden="0" customWidth="1"/>
    <x:col min="4" max="4" width="39" hidden="0" customWidth="1"/>
    <x:col min="5" max="5" width="68" hidden="0" customWidth="1"/>
    <x:col min="6" max="6" width="60" hidden="0" customWidth="1"/>
    <x:col min="7" max="8" width="5" customWidth="1"/>
    <x:col min="9" max="9" width="9" hidden="0" customWidth="1"/>
    <x:col min="10" max="11" width="9" customWidth="1"/>
    <x:col min="12" max="12" width="13" hidden="0" customWidth="1"/>
    <x:col min="13" max="13" width="28" hidden="0" customWidth="1"/>
    <x:col min="14" max="14" width="13" hidden="0" customWidth="1"/>
    <x:col min="15" max="15" width="14" hidden="0" customWidth="1"/>
    <x:col min="16" max="17" width="8" customWidth="1"/>
    <x:col min="18" max="18" width="13" hidden="0" customWidth="1"/>
    <x:col min="19" max="19" width="54" hidden="0" customWidth="1"/>
    <x:col min="7" max="7" width="7" hidden="0" customWidth="1"/>
    <x:col min="8" max="8" width="7" hidden="0" customWidth="1"/>
    <x:col min="10" max="10" width="11" hidden="0" customWidth="1"/>
    <x:col min="11" max="11" width="10" hidden="0" customWidth="1"/>
    <x:col min="16" max="16" width="11" hidden="0" customWidth="1"/>
    <x:col min="17" max="17" width="11" hidden="0" customWidth="1"/>
  </x:cols>
  <x:sheetData>
    <x:row r="1" ht="46" customHeight="1">
      <x:c r="A1" s="39" t="s">
        <x:v>94</x:v>
      </x:c>
      <x:c r="B1" s="39" t="s">
        <x:v>85</x:v>
      </x:c>
      <x:c r="C1" s="39" t="s">
        <x:v>95</x:v>
      </x:c>
      <x:c r="D1" s="39" t="s">
        <x:v>96</x:v>
      </x:c>
      <x:c r="E1" s="39" t="s">
        <x:v>97</x:v>
      </x:c>
      <x:c r="F1" s="39" t="s">
        <x:v>98</x:v>
      </x:c>
      <x:c r="G1" s="39" t="s">
        <x:v>99</x:v>
      </x:c>
      <x:c r="H1" s="39" t="s">
        <x:v>100</x:v>
      </x:c>
      <x:c r="I1" s="39" t="s">
        <x:v>101</x:v>
      </x:c>
      <x:c r="J1" s="39" t="s">
        <x:v>30</x:v>
      </x:c>
      <x:c r="K1" s="39" t="s">
        <x:v>102</x:v>
      </x:c>
      <x:c r="L1" s="39" t="s">
        <x:v>103</x:v>
      </x:c>
      <x:c r="M1" s="39" t="s">
        <x:v>104</x:v>
      </x:c>
      <x:c r="N1" s="39" t="s">
        <x:v>105</x:v>
      </x:c>
      <x:c r="O1" s="39" t="s">
        <x:v>106</x:v>
      </x:c>
      <x:c r="P1" s="39" t="s">
        <x:v>107</x:v>
      </x:c>
      <x:c r="Q1" s="39" t="s">
        <x:v>108</x:v>
      </x:c>
      <x:c r="R1" s="39" t="s">
        <x:v>109</x:v>
      </x:c>
      <x:c r="S1" s="39" t="s">
        <x:v>110</x:v>
      </x:c>
    </x:row>
    <x:row r="2" ht="64" customHeight="1">
      <x:c r="A2" s="40" t="str">
        <x:v>R-01</x:v>
      </x:c>
      <x:c r="B2" s="40" t="str">
        <x:v>A-01</x:v>
      </x:c>
      <x:c r="C2" s="40" t="str">
        <x:v>T1486 Data Encrypted for Impact</x:v>
      </x:c>
      <x:c r="D2" s="40" t="str">
        <x:v>Липса на проверени резервни копия</x:v>
      </x:c>
      <x:c r="E2" s="40" t="str">
        <x:v>Ransomware криптира резервационната база и хотелите не могат да работят с нея.</x:v>
      </x:c>
      <x:c r="F2" s="40" t="str">
        <x:v>В лабораторията има сървър, но не е показан backup.</x:v>
      </x:c>
      <x:c r="G2" s="40" t="n">
        <x:v>4</x:v>
      </x:c>
      <x:c r="H2" s="40" t="n">
        <x:v>5</x:v>
      </x:c>
      <x:c r="I2" s="42" t="n">
        <x:f t="shared" ref="I2:I65" si="0">IF(OR(G2="",H2=""),"",G2*H2)</x:f>
        <x:v>20</x:v>
      </x:c>
      <x:c r="J2" s="42" t="str">
        <x:f t="shared" ref="J2:J65" si="1">IF(I2="","",IF(I2&lt;=4,"нисък",IF(I2&lt;=9,"умерен",IF(I2&lt;=15,"висок","критичен"))))</x:f>
        <x:v>критичен</x:v>
      </x:c>
      <x:c r="K2" s="42" t="str">
        <x:f>IF(I2="","",IF(I2&lt;=Скали!$B$1,"да","не"))</x:f>
        <x:v>не</x:v>
      </x:c>
      <x:c r="L2" s="40" t="str">
        <x:v>намаляване</x:v>
      </x:c>
      <x:c r="M2" s="40" t="str">
        <x:v>Ръководител резервации</x:v>
      </x:c>
      <x:c r="N2" s="40" t="str">
        <x:v>30 дни</x:v>
      </x:c>
      <x:c r="O2" s="40" t="str">
        <x:v>4, 9, 13</x:v>
      </x:c>
      <x:c r="P2" s="40"/>
      <x:c r="Q2" s="40"/>
      <x:c r="R2" s="42" t="str">
        <x:f t="shared" ref="R2:R65" si="2">IF(OR(P2="",Q2=""),"",P2*Q2)</x:f>
      </x:c>
      <x:c r="S2" s="41" t="str">
        <x:v>Проверка за резервни копия и тест за възстановяване.</x:v>
      </x:c>
    </x:row>
    <x:row r="3" ht="64" customHeight="1">
      <x:c r="A3" s="40" t="str">
        <x:v>R-02</x:v>
      </x:c>
      <x:c r="B3" s="40" t="str">
        <x:v>A-02</x:v>
      </x:c>
      <x:c r="C3" s="40" t="str">
        <x:v>T1078 Valid Accounts</x:v>
      </x:c>
      <x:c r="D3" s="40" t="str">
        <x:v>Слаби или прекалено широки права</x:v>
      </x:c>
      <x:c r="E3" s="40" t="str">
        <x:v>Някой използва откраднат профил и получава достъп до данните на гостите.</x:v>
      </x:c>
      <x:c r="F3" s="40" t="str">
        <x:v>По сценарий има различни роли, но още не са настроени.</x:v>
      </x:c>
      <x:c r="G3" s="40" t="n">
        <x:v>4</x:v>
      </x:c>
      <x:c r="H3" s="40" t="n">
        <x:v>5</x:v>
      </x:c>
      <x:c r="I3" s="42" t="n">
        <x:f t="shared" si="0">IF(OR(G3="",H3=""),"",G3*H3)</x:f>
        <x:v>20</x:v>
      </x:c>
      <x:c r="J3" s="42" t="str">
        <x:f t="shared" si="1">IF(I3="","",IF(I3&lt;=4,"нисък",IF(I3&lt;=9,"умерен",IF(I3&lt;=15,"висок","критичен"))))</x:f>
        <x:v>критичен</x:v>
      </x:c>
      <x:c r="K3" s="42" t="str">
        <x:f>IF(I3="","",IF(I3&lt;=Скали!$B$1,"да","не"))</x:f>
        <x:v>не</x:v>
      </x:c>
      <x:c r="L3" s="40" t="str">
        <x:v>намаляване</x:v>
      </x:c>
      <x:c r="M3" s="40" t="str">
        <x:v>Ръководител резервации</x:v>
      </x:c>
      <x:c r="N3" s="40" t="str">
        <x:v>30 дни</x:v>
      </x:c>
      <x:c r="O3" s="40" t="str">
        <x:v>7, 9, 11</x:v>
      </x:c>
      <x:c r="P3" s="40"/>
      <x:c r="Q3" s="40"/>
      <x:c r="R3" s="42" t="str">
        <x:f t="shared" si="2">IF(OR(P3="",Q3=""),"",P3*Q3)</x:f>
      </x:c>
      <x:c r="S3" s="41" t="str">
        <x:v>Тест с профили на рецепция и администратор.</x:v>
      </x:c>
    </x:row>
    <x:row r="4" ht="64" customHeight="1">
      <x:c r="A4" s="40" t="str">
        <x:v>R-03</x:v>
      </x:c>
      <x:c r="B4" s="40" t="str">
        <x:v>A-05</x:v>
      </x:c>
      <x:c r="C4" s="40" t="str">
        <x:v>T1595.001 Scanning IP Blocks / T1021 Remote Services</x:v>
      </x:c>
      <x:c r="D4" s="40" t="str">
        <x:v>Недобре отделена гостова мрежа</x:v>
      </x:c>
      <x:c r="E4" s="40" t="str">
        <x:v>Ако firewall правилата са грешни, гост от Wi-Fi може да достигне вътрешната мрежа.</x:v>
      </x:c>
      <x:c r="F4" s="40" t="str">
        <x:v>В сценария гостовата мрежа трябва да е отделена.</x:v>
      </x:c>
      <x:c r="G4" s="40" t="n">
        <x:v>4</x:v>
      </x:c>
      <x:c r="H4" s="40" t="n">
        <x:v>4</x:v>
      </x:c>
      <x:c r="I4" s="42" t="n">
        <x:f t="shared" si="0">IF(OR(G4="",H4=""),"",G4*H4)</x:f>
        <x:v>16</x:v>
      </x:c>
      <x:c r="J4" s="42" t="str">
        <x:f t="shared" si="1">IF(I4="","",IF(I4&lt;=4,"нисък",IF(I4&lt;=9,"умерен",IF(I4&lt;=15,"висок","критичен"))))</x:f>
        <x:v>критичен</x:v>
      </x:c>
      <x:c r="K4" s="42" t="str">
        <x:f>IF(I4="","",IF(I4&lt;=Скали!$B$1,"да","не"))</x:f>
        <x:v>не</x:v>
      </x:c>
      <x:c r="L4" s="40" t="str">
        <x:v>намаляване</x:v>
      </x:c>
      <x:c r="M4" s="40" t="str">
        <x:v>Управител на хотела в Несебър</x:v>
      </x:c>
      <x:c r="N4" s="40" t="str">
        <x:v>30 дни</x:v>
      </x:c>
      <x:c r="O4" s="40" t="str">
        <x:v>9, 13</x:v>
      </x:c>
      <x:c r="P4" s="40"/>
      <x:c r="Q4" s="40"/>
      <x:c r="R4" s="42" t="str">
        <x:f t="shared" si="2">IF(OR(P4="",Q4=""),"",P4*Q4)</x:f>
      </x:c>
      <x:c r="S4" s="40" t="str">
        <x:v>Тест: гостовата мрежа не достига вътрешните адреси.</x:v>
      </x:c>
    </x:row>
    <x:row r="5" ht="64" customHeight="1">
      <x:c r="A5" s="40" t="str">
        <x:v>R-04</x:v>
      </x:c>
      <x:c r="B5" s="40" t="str">
        <x:v>A-04</x:v>
      </x:c>
      <x:c r="C5" s="40" t="str">
        <x:v>T1595.003 Wordlist Scanning / T1190 Exploit Public-Facing Application</x:v>
      </x:c>
      <x:c r="D5" s="40" t="str">
        <x:v>Стара версия на уеб услугата или пропусната настройка</x:v>
      </x:c>
      <x:c r="E5" s="40" t="str">
        <x:v>Нападател намира слабост в публичния сайт и се опитва да влезе в системата.</x:v>
      </x:c>
      <x:c r="F5" s="40" t="str">
        <x:v>Nmap показа Nginx на порт 80; FFUF не намери пътища. Няма доказана уязвимост.</x:v>
      </x:c>
      <x:c r="G5" s="40" t="n">
        <x:v>4</x:v>
      </x:c>
      <x:c r="H5" s="40" t="n">
        <x:v>4</x:v>
      </x:c>
      <x:c r="I5" s="42" t="n">
        <x:f t="shared" si="0">IF(OR(G5="",H5=""),"",G5*H5)</x:f>
        <x:v>16</x:v>
      </x:c>
      <x:c r="J5" s="42" t="str">
        <x:f t="shared" si="1">IF(I5="","",IF(I5&lt;=4,"нисък",IF(I5&lt;=9,"умерен",IF(I5&lt;=15,"висок","критичен"))))</x:f>
        <x:v>критичен</x:v>
      </x:c>
      <x:c r="K5" s="42" t="str">
        <x:f>IF(I5="","",IF(I5&lt;=Скали!$B$1,"да","не"))</x:f>
        <x:v>не</x:v>
      </x:c>
      <x:c r="L5" s="40" t="str">
        <x:v>намаляване</x:v>
      </x:c>
      <x:c r="M5" s="40" t="str">
        <x:v>Мениджър обслужване на гости</x:v>
      </x:c>
      <x:c r="N5" s="40" t="str">
        <x:v>30 дни</x:v>
      </x:c>
      <x:c r="O5" s="40" t="str">
        <x:v>2, 9, 11</x:v>
      </x:c>
      <x:c r="P5" s="40"/>
      <x:c r="Q5" s="40"/>
      <x:c r="R5" s="42" t="str">
        <x:f t="shared" si="2">IF(OR(P5="",Q5=""),"",P5*Q5)</x:f>
      </x:c>
      <x:c r="S5" s="40" t="str">
        <x:v>nmap/ffuf резултати от s02; по-късно HTTPS тест.</x:v>
      </x:c>
    </x:row>
    <x:row r="6" ht="64" customHeight="1">
      <x:c r="A6" s="40" t="str">
        <x:v>R-05</x:v>
      </x:c>
      <x:c r="B6" s="40" t="str">
        <x:v>A-10</x:v>
      </x:c>
      <x:c r="C6" s="40" t="str">
        <x:v>T1110 Brute Force</x:v>
      </x:c>
      <x:c r="D6" s="40" t="str">
        <x:v>Слаби пароли и липса на MFA</x:v>
      </x:c>
      <x:c r="E6" s="40" t="str">
        <x:v>Нападател отгатва парола на служител и влиза в системата за резервации.</x:v>
      </x:c>
      <x:c r="F6" s="40" t="str">
        <x:v>Има предвидени роли, но няма показана MFA настройка.</x:v>
      </x:c>
      <x:c r="G6" s="40" t="n">
        <x:v>4</x:v>
      </x:c>
      <x:c r="H6" s="40" t="n">
        <x:v>4</x:v>
      </x:c>
      <x:c r="I6" s="42" t="n">
        <x:f t="shared" si="0">IF(OR(G6="",H6=""),"",G6*H6)</x:f>
        <x:v>16</x:v>
      </x:c>
      <x:c r="J6" s="42" t="str">
        <x:f t="shared" si="1">IF(I6="","",IF(I6&lt;=4,"нисък",IF(I6&lt;=9,"умерен",IF(I6&lt;=15,"висок","критичен"))))</x:f>
        <x:v>критичен</x:v>
      </x:c>
      <x:c r="K6" s="42" t="str">
        <x:f>IF(I6="","",IF(I6&lt;=Скали!$B$1,"да","не"))</x:f>
        <x:v>не</x:v>
      </x:c>
      <x:c r="L6" s="40" t="str">
        <x:v>намаляване</x:v>
      </x:c>
      <x:c r="M6" s="40" t="str">
        <x:v>Ръководител ИТ</x:v>
      </x:c>
      <x:c r="N6" s="40" t="str">
        <x:v>30 дни</x:v>
      </x:c>
      <x:c r="O6" s="40" t="str">
        <x:v>7, 11</x:v>
      </x:c>
      <x:c r="P6" s="40"/>
      <x:c r="Q6" s="40"/>
      <x:c r="R6" s="42" t="str">
        <x:f t="shared" si="2">IF(OR(P6="",Q6=""),"",P6*Q6)</x:f>
      </x:c>
      <x:c r="S6" s="40" t="str">
        <x:v>Проверка на вход с грешни пароли и MFA.</x:v>
      </x:c>
    </x:row>
    <x:row r="7" ht="64" customHeight="1">
      <x:c r="A7" s="40" t="str">
        <x:v>R-06</x:v>
      </x:c>
      <x:c r="B7" s="40" t="str">
        <x:v>A-06</x:v>
      </x:c>
      <x:c r="C7" s="40" t="str">
        <x:v>T1686 Disable or Modify System Firewall</x:v>
      </x:c>
      <x:c r="D7" s="40" t="str">
        <x:v>Непроверени промени по firewall</x:v>
      </x:c>
      <x:c r="E7" s="40" t="str">
        <x:v>Грешно правило на gw позволява трафик, който трябва да е забранен.</x:v>
      </x:c>
      <x:c r="F7" s="40" t="str">
        <x:v>Машината gw е настроена; правилата за хотелите предстоят.</x:v>
      </x:c>
      <x:c r="G7" s="40" t="n">
        <x:v>3</x:v>
      </x:c>
      <x:c r="H7" s="40" t="n">
        <x:v>5</x:v>
      </x:c>
      <x:c r="I7" s="42" t="n">
        <x:f t="shared" si="0">IF(OR(G7="",H7=""),"",G7*H7)</x:f>
        <x:v>15</x:v>
      </x:c>
      <x:c r="J7" s="42" t="str">
        <x:f t="shared" si="1">IF(I7="","",IF(I7&lt;=4,"нисък",IF(I7&lt;=9,"умерен",IF(I7&lt;=15,"висок","критичен"))))</x:f>
        <x:v>висок</x:v>
      </x:c>
      <x:c r="K7" s="42" t="str">
        <x:f>IF(I7="","",IF(I7&lt;=Скали!$B$1,"да","не"))</x:f>
        <x:v>не</x:v>
      </x:c>
      <x:c r="L7" s="40" t="str">
        <x:v>намаляване</x:v>
      </x:c>
      <x:c r="M7" s="40" t="str">
        <x:v>Ръководител ИТ</x:v>
      </x:c>
      <x:c r="N7" s="40" t="str">
        <x:v>90 дни</x:v>
      </x:c>
      <x:c r="O7" s="40" t="str">
        <x:v>9, 13</x:v>
      </x:c>
      <x:c r="P7" s="40"/>
      <x:c r="Q7" s="40"/>
      <x:c r="R7" s="42" t="str">
        <x:f t="shared" si="2">IF(OR(P7="",Q7=""),"",P7*Q7)</x:f>
      </x:c>
      <x:c r="S7" s="40" t="str">
        <x:v>Файл с nftables правилата и тест за забранен трафик.</x:v>
      </x:c>
    </x:row>
    <x:row r="8" ht="64" customHeight="1">
      <x:c r="A8" s="40" t="str">
        <x:v>R-07</x:v>
      </x:c>
      <x:c r="B8" s="40" t="str">
        <x:v>A-03</x:v>
      </x:c>
      <x:c r="C8" s="40" t="str">
        <x:v>T1499 Endpoint Denial of Service</x:v>
      </x:c>
      <x:c r="D8" s="40" t="str">
        <x:v>Няма ограничение на твърде много заявки</x:v>
      </x:c>
      <x:c r="E8" s="40" t="str">
        <x:v>PMS спира да отговаря и рецепциите не могат да обработват резервации.</x:v>
      </x:c>
      <x:c r="F8" s="40" t="str">
        <x:v>Няма направен тест за натоварване.</x:v>
      </x:c>
      <x:c r="G8" s="40" t="n">
        <x:v>3</x:v>
      </x:c>
      <x:c r="H8" s="40" t="n">
        <x:v>4</x:v>
      </x:c>
      <x:c r="I8" s="42" t="n">
        <x:f t="shared" si="0">IF(OR(G8="",H8=""),"",G8*H8)</x:f>
        <x:v>12</x:v>
      </x:c>
      <x:c r="J8" s="42" t="str">
        <x:f t="shared" si="1">IF(I8="","",IF(I8&lt;=4,"нисък",IF(I8&lt;=9,"умерен",IF(I8&lt;=15,"висок","критичен"))))</x:f>
        <x:v>висок</x:v>
      </x:c>
      <x:c r="K8" s="42" t="str">
        <x:f>IF(I8="","",IF(I8&lt;=Скали!$B$1,"да","не"))</x:f>
        <x:v>не</x:v>
      </x:c>
      <x:c r="L8" s="40" t="str">
        <x:v>намаляване</x:v>
      </x:c>
      <x:c r="M8" s="40" t="str">
        <x:v>Оперативен директор</x:v>
      </x:c>
      <x:c r="N8" s="40" t="str">
        <x:v>90 дни</x:v>
      </x:c>
      <x:c r="O8" s="40" t="str">
        <x:v>9, 13</x:v>
      </x:c>
      <x:c r="P8" s="40"/>
      <x:c r="Q8" s="40"/>
      <x:c r="R8" s="42" t="str">
        <x:f t="shared" si="2">IF(OR(P8="",Q8=""),"",P8*Q8)</x:f>
      </x:c>
      <x:c r="S8" s="40" t="str">
        <x:v>Тест за натоварване и лог за недостъпност.</x:v>
      </x:c>
    </x:row>
    <x:row r="9" ht="64" customHeight="1">
      <x:c r="A9" s="40" t="str">
        <x:v>R-08</x:v>
      </x:c>
      <x:c r="B9" s="40" t="str">
        <x:v>A-09</x:v>
      </x:c>
      <x:c r="C9" s="40" t="str">
        <x:v>T1021 Remote Services</x:v>
      </x:c>
      <x:c r="D9" s="40" t="str">
        <x:v>Липсва забрана за директни връзки между хотелите</x:v>
      </x:c>
      <x:c r="E9" s="40" t="str">
        <x:v>Ако терминал в един хотел е заразен, може да опита достъп до друг хотел.</x:v>
      </x:c>
      <x:c r="F9" s="40" t="str">
        <x:v>По сценарий хотелите не трябва да се свързват директно.</x:v>
      </x:c>
      <x:c r="G9" s="40" t="n">
        <x:v>3</x:v>
      </x:c>
      <x:c r="H9" s="40" t="n">
        <x:v>4</x:v>
      </x:c>
      <x:c r="I9" s="42" t="n">
        <x:f t="shared" si="0">IF(OR(G9="",H9=""),"",G9*H9)</x:f>
        <x:v>12</x:v>
      </x:c>
      <x:c r="J9" s="42" t="str">
        <x:f t="shared" si="1">IF(I9="","",IF(I9&lt;=4,"нисък",IF(I9&lt;=9,"умерен",IF(I9&lt;=15,"висок","критичен"))))</x:f>
        <x:v>висок</x:v>
      </x:c>
      <x:c r="K9" s="42" t="str">
        <x:f>IF(I9="","",IF(I9&lt;=Скали!$B$1,"да","не"))</x:f>
        <x:v>не</x:v>
      </x:c>
      <x:c r="L9" s="40" t="str">
        <x:v>намаляване</x:v>
      </x:c>
      <x:c r="M9" s="40" t="str">
        <x:v>Ръководител ИТ</x:v>
      </x:c>
      <x:c r="N9" s="40" t="str">
        <x:v>90 дни</x:v>
      </x:c>
      <x:c r="O9" s="40" t="str">
        <x:v>9, 13</x:v>
      </x:c>
      <x:c r="P9" s="40"/>
      <x:c r="Q9" s="40"/>
      <x:c r="R9" s="42" t="str">
        <x:f t="shared" si="2">IF(OR(P9="",Q9=""),"",P9*Q9)</x:f>
      </x:c>
      <x:c r="S9" s="40" t="str">
        <x:v>Тест за блокирани връзки между двата сегмента.</x:v>
      </x:c>
    </x:row>
    <x:row r="10" ht="64" customHeight="1">
      <x:c r="A10" s="40" t="str">
        <x:v>R-09</x:v>
      </x:c>
      <x:c r="B10" s="40" t="str">
        <x:v>A-11</x:v>
      </x:c>
      <x:c r="C10" s="40" t="str">
        <x:v>T1552.004 Private Keys</x:v>
      </x:c>
      <x:c r="D10" s="40" t="str">
        <x:v>Частните TLS ключове са достъпни за много потребители</x:v>
      </x:c>
      <x:c r="E10" s="40" t="str">
        <x:v>Ако някой открадне ключа за HTTPS, може да се представи за портала.</x:v>
      </x:c>
      <x:c r="F10" s="40" t="str">
        <x:v>Няма показана конфигурация за правата върху ключовете.</x:v>
      </x:c>
      <x:c r="G10" s="40" t="n">
        <x:v>3</x:v>
      </x:c>
      <x:c r="H10" s="40" t="n">
        <x:v>4</x:v>
      </x:c>
      <x:c r="I10" s="42" t="n">
        <x:f t="shared" si="0">IF(OR(G10="",H10=""),"",G10*H10)</x:f>
        <x:v>12</x:v>
      </x:c>
      <x:c r="J10" s="42" t="str">
        <x:f t="shared" si="1">IF(I10="","",IF(I10&lt;=4,"нисък",IF(I10&lt;=9,"умерен",IF(I10&lt;=15,"висок","критичен"))))</x:f>
        <x:v>висок</x:v>
      </x:c>
      <x:c r="K10" s="42" t="str">
        <x:f>IF(I10="","",IF(I10&lt;=Скали!$B$1,"да","не"))</x:f>
        <x:v>не</x:v>
      </x:c>
      <x:c r="L10" s="40" t="str">
        <x:v>намаляване</x:v>
      </x:c>
      <x:c r="M10" s="40" t="str">
        <x:v>Ръководител ИТ</x:v>
      </x:c>
      <x:c r="N10" s="40" t="str">
        <x:v>90 дни</x:v>
      </x:c>
      <x:c r="O10" s="40" t="str">
        <x:v>4, 11</x:v>
      </x:c>
      <x:c r="P10" s="40"/>
      <x:c r="Q10" s="40"/>
      <x:c r="R10" s="42" t="str">
        <x:f t="shared" si="2">IF(OR(P10="",Q10=""),"",P10*Q10)</x:f>
      </x:c>
      <x:c r="S10" s="40" t="str">
        <x:v>Проверка на файловите права на ключа.</x:v>
      </x:c>
    </x:row>
    <x:row r="11" ht="64" customHeight="1">
      <x:c r="A11" s="40" t="str">
        <x:v>R-10</x:v>
      </x:c>
      <x:c r="B11" s="40" t="str">
        <x:v>A-12</x:v>
      </x:c>
      <x:c r="C11" s="40" t="str">
        <x:v>T1485 Data Destruction</x:v>
      </x:c>
      <x:c r="D11" s="40" t="str">
        <x:v>Няма отделен backup на данните от srv</x:v>
      </x:c>
      <x:c r="E11" s="40" t="str">
        <x:v>Ако данните на сървъра бъдат изтрити, резервациите може да не могат да се възстановят.</x:v>
      </x:c>
      <x:c r="F11" s="40" t="str">
        <x:v>В лабораторията не е настроено резервно копие.</x:v>
      </x:c>
      <x:c r="G11" s="40" t="n">
        <x:v>3</x:v>
      </x:c>
      <x:c r="H11" s="40" t="n">
        <x:v>5</x:v>
      </x:c>
      <x:c r="I11" s="42" t="n">
        <x:f t="shared" si="0">IF(OR(G11="",H11=""),"",G11*H11)</x:f>
        <x:v>15</x:v>
      </x:c>
      <x:c r="J11" s="42" t="str">
        <x:f t="shared" si="1">IF(I11="","",IF(I11&lt;=4,"нисък",IF(I11&lt;=9,"умерен",IF(I11&lt;=15,"висок","критичен"))))</x:f>
        <x:v>висок</x:v>
      </x:c>
      <x:c r="K11" s="42" t="str">
        <x:f>IF(I11="","",IF(I11&lt;=Скали!$B$1,"да","не"))</x:f>
        <x:v>не</x:v>
      </x:c>
      <x:c r="L11" s="40" t="str">
        <x:v>намаляване</x:v>
      </x:c>
      <x:c r="M11" s="40" t="str">
        <x:v>Ръководител ИТ</x:v>
      </x:c>
      <x:c r="N11" s="40" t="str">
        <x:v>90 дни</x:v>
      </x:c>
      <x:c r="O11" s="40" t="str">
        <x:v>4, 13</x:v>
      </x:c>
      <x:c r="P11" s="40"/>
      <x:c r="Q11" s="40"/>
      <x:c r="R11" s="42" t="str">
        <x:f t="shared" si="2">IF(OR(P11="",Q11=""),"",P11*Q11)</x:f>
      </x:c>
      <x:c r="S11" s="40" t="str">
        <x:v>Отделно резервно копие и успешен restore тест.</x:v>
      </x:c>
    </x:row>
    <x:row r="12" ht="64" customHeight="1">
      <x:c r="A12" s="40" t="str">
        <x:v>R-11</x:v>
      </x:c>
      <x:c r="B12" s="40" t="str">
        <x:v>A-07</x:v>
      </x:c>
      <x:c r="C12" s="40" t="str">
        <x:v>T1566 Phishing</x:v>
      </x:c>
      <x:c r="D12" s="40" t="str">
        <x:v>Служителите не са обучени за фишинг</x:v>
      </x:c>
      <x:c r="E12" s="40" t="str">
        <x:v>Рецепционист отваря фалшив имейл и заразява компютъра си.</x:v>
      </x:c>
      <x:c r="F12" s="40" t="str">
        <x:v>Няма информация за проведено обучение.</x:v>
      </x:c>
      <x:c r="G12" s="40" t="n">
        <x:v>3</x:v>
      </x:c>
      <x:c r="H12" s="40" t="n">
        <x:v>3</x:v>
      </x:c>
      <x:c r="I12" s="42" t="n">
        <x:f t="shared" si="0">IF(OR(G12="",H12=""),"",G12*H12)</x:f>
        <x:v>9</x:v>
      </x:c>
      <x:c r="J12" s="42" t="str">
        <x:f t="shared" si="1">IF(I12="","",IF(I12&lt;=4,"нисък",IF(I12&lt;=9,"умерен",IF(I12&lt;=15,"висок","критичен"))))</x:f>
        <x:v>умерен</x:v>
      </x:c>
      <x:c r="K12" s="42" t="str">
        <x:f>IF(I12="","",IF(I12&lt;=Скали!$B$1,"да","не"))</x:f>
        <x:v>да</x:v>
      </x:c>
      <x:c r="L12" s="40" t="str">
        <x:v>приемане</x:v>
      </x:c>
      <x:c r="M12" s="40" t="str">
        <x:v>Управител на съответния хотел</x:v>
      </x:c>
      <x:c r="N12" s="40" t="str">
        <x:v>—</x:v>
      </x:c>
      <x:c r="O12" s="40" t="str">
        <x:v>3, 4</x:v>
      </x:c>
      <x:c r="P12" s="40"/>
      <x:c r="Q12" s="40"/>
      <x:c r="R12" s="42" t="str">
        <x:f t="shared" si="2">IF(OR(P12="",Q12=""),"",P12*Q12)</x:f>
      </x:c>
      <x:c r="S12" s="40" t="str">
        <x:v>Риск 9 — може да се приеме с решение на управителя.</x:v>
      </x:c>
    </x:row>
    <x:row r="13" ht="64" customHeight="1">
      <x:c r="A13" s="40" t="str">
        <x:v>R-12</x:v>
      </x:c>
      <x:c r="B13" s="40" t="str">
        <x:v>A-08</x:v>
      </x:c>
      <x:c r="C13" s="40" t="str">
        <x:v>T1204 User Execution</x:v>
      </x:c>
      <x:c r="D13" s="40" t="str">
        <x:v>Служителите могат да стартират непроверени файлове</x:v>
      </x:c>
      <x:c r="E13" s="40" t="str">
        <x:v>Някой отваря заразен файл на работния компютър в хотела.</x:v>
      </x:c>
      <x:c r="F13" s="40" t="str">
        <x:v>Не са описани конкретни защити на компютрите.</x:v>
      </x:c>
      <x:c r="G13" s="40" t="n">
        <x:v>2</x:v>
      </x:c>
      <x:c r="H13" s="40" t="n">
        <x:v>3</x:v>
      </x:c>
      <x:c r="I13" s="42" t="n">
        <x:f t="shared" si="0">IF(OR(G13="",H13=""),"",G13*H13)</x:f>
        <x:v>6</x:v>
      </x:c>
      <x:c r="J13" s="42" t="str">
        <x:f t="shared" si="1">IF(I13="","",IF(I13&lt;=4,"нисък",IF(I13&lt;=9,"умерен",IF(I13&lt;=15,"висок","критичен"))))</x:f>
        <x:v>умерен</x:v>
      </x:c>
      <x:c r="K13" s="42" t="str">
        <x:f>IF(I13="","",IF(I13&lt;=Скали!$B$1,"да","не"))</x:f>
        <x:v>да</x:v>
      </x:c>
      <x:c r="L13" s="40" t="str">
        <x:v>приемане</x:v>
      </x:c>
      <x:c r="M13" s="40" t="str">
        <x:v>Оперативен директор</x:v>
      </x:c>
      <x:c r="N13" s="40" t="str">
        <x:v>—</x:v>
      </x:c>
      <x:c r="O13" s="40" t="str">
        <x:v>2, 4</x:v>
      </x:c>
      <x:c r="P13" s="40"/>
      <x:c r="Q13" s="40"/>
      <x:c r="R13" s="42" t="str">
        <x:f t="shared" si="2">IF(OR(P13="",Q13=""),"",P13*Q13)</x:f>
      </x:c>
      <x:c r="S13" s="40" t="str">
        <x:v>Риск 6 — може да се приеме с решение на управителя.</x:v>
      </x:c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8" t="str">
        <x:f t="shared" si="0"/>
      </x:c>
      <x:c r="J14" s="19" t="str">
        <x:f t="shared" si="1"/>
      </x:c>
      <x:c r="K14" s="19" t="str">
        <x:f>IF(I14="","",IF(I14&lt;=Скали!$B$1,"да","не"))</x:f>
      </x:c>
      <x:c r="L14" s="16"/>
      <x:c r="M14" s="16"/>
      <x:c r="N14" s="16"/>
      <x:c r="O14" s="16"/>
      <x:c r="P14" s="16"/>
      <x:c r="Q14" s="16"/>
      <x:c r="R14" s="18" t="str">
        <x:f t="shared" si="2"/>
      </x:c>
      <x:c r="S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8" t="str">
        <x:f t="shared" si="0"/>
      </x:c>
      <x:c r="J15" s="19" t="str">
        <x:f t="shared" si="1"/>
      </x:c>
      <x:c r="K15" s="19" t="str">
        <x:f>IF(I15="","",IF(I15&lt;=Скали!$B$1,"да","не"))</x:f>
      </x:c>
      <x:c r="L15" s="16"/>
      <x:c r="M15" s="16"/>
      <x:c r="N15" s="16"/>
      <x:c r="O15" s="16"/>
      <x:c r="P15" s="16"/>
      <x:c r="Q15" s="16"/>
      <x:c r="R15" s="18" t="str">
        <x:f t="shared" si="2"/>
      </x:c>
      <x:c r="S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8" t="str">
        <x:f t="shared" si="0"/>
      </x:c>
      <x:c r="J16" s="19" t="str">
        <x:f t="shared" si="1"/>
      </x:c>
      <x:c r="K16" s="19" t="str">
        <x:f>IF(I16="","",IF(I16&lt;=Скали!$B$1,"да","не"))</x:f>
      </x:c>
      <x:c r="L16" s="16"/>
      <x:c r="M16" s="16"/>
      <x:c r="N16" s="16"/>
      <x:c r="O16" s="16"/>
      <x:c r="P16" s="16"/>
      <x:c r="Q16" s="16"/>
      <x:c r="R16" s="18" t="str">
        <x:f t="shared" si="2"/>
      </x:c>
      <x:c r="S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8" t="str">
        <x:f t="shared" si="0"/>
      </x:c>
      <x:c r="J17" s="19" t="str">
        <x:f t="shared" si="1"/>
      </x:c>
      <x:c r="K17" s="19" t="str">
        <x:f>IF(I17="","",IF(I17&lt;=Скали!$B$1,"да","не"))</x:f>
      </x:c>
      <x:c r="L17" s="16"/>
      <x:c r="M17" s="16"/>
      <x:c r="N17" s="16"/>
      <x:c r="O17" s="16"/>
      <x:c r="P17" s="16"/>
      <x:c r="Q17" s="16"/>
      <x:c r="R17" s="18" t="str">
        <x:f t="shared" si="2"/>
      </x:c>
      <x:c r="S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8" t="str">
        <x:f t="shared" si="0"/>
      </x:c>
      <x:c r="J18" s="19" t="str">
        <x:f t="shared" si="1"/>
      </x:c>
      <x:c r="K18" s="19" t="str">
        <x:f>IF(I18="","",IF(I18&lt;=Скали!$B$1,"да","не"))</x:f>
      </x:c>
      <x:c r="L18" s="16"/>
      <x:c r="M18" s="16"/>
      <x:c r="N18" s="16"/>
      <x:c r="O18" s="16"/>
      <x:c r="P18" s="16"/>
      <x:c r="Q18" s="16"/>
      <x:c r="R18" s="18" t="str">
        <x:f t="shared" si="2"/>
      </x:c>
      <x:c r="S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8" t="str">
        <x:f t="shared" si="0"/>
      </x:c>
      <x:c r="J19" s="19" t="str">
        <x:f t="shared" si="1"/>
      </x:c>
      <x:c r="K19" s="19" t="str">
        <x:f>IF(I19="","",IF(I19&lt;=Скали!$B$1,"да","не"))</x:f>
      </x:c>
      <x:c r="L19" s="16"/>
      <x:c r="M19" s="16"/>
      <x:c r="N19" s="16"/>
      <x:c r="O19" s="16"/>
      <x:c r="P19" s="16"/>
      <x:c r="Q19" s="16"/>
      <x:c r="R19" s="18" t="str">
        <x:f t="shared" si="2"/>
      </x:c>
      <x:c r="S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8" t="str">
        <x:f t="shared" si="0"/>
      </x:c>
      <x:c r="J20" s="19" t="str">
        <x:f t="shared" si="1"/>
      </x:c>
      <x:c r="K20" s="19" t="str">
        <x:f>IF(I20="","",IF(I20&lt;=Скали!$B$1,"да","не"))</x:f>
      </x:c>
      <x:c r="L20" s="16"/>
      <x:c r="M20" s="16"/>
      <x:c r="N20" s="16"/>
      <x:c r="O20" s="16"/>
      <x:c r="P20" s="16"/>
      <x:c r="Q20" s="16"/>
      <x:c r="R20" s="18" t="str">
        <x:f t="shared" si="2"/>
      </x:c>
      <x:c r="S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8" t="str">
        <x:f t="shared" si="0"/>
      </x:c>
      <x:c r="J21" s="19" t="str">
        <x:f t="shared" si="1"/>
      </x:c>
      <x:c r="K21" s="19" t="str">
        <x:f>IF(I21="","",IF(I21&lt;=Скали!$B$1,"да","не"))</x:f>
      </x:c>
      <x:c r="L21" s="16"/>
      <x:c r="M21" s="16"/>
      <x:c r="N21" s="16"/>
      <x:c r="O21" s="16"/>
      <x:c r="P21" s="16"/>
      <x:c r="Q21" s="16"/>
      <x:c r="R21" s="18" t="str">
        <x:f t="shared" si="2"/>
      </x:c>
      <x:c r="S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8" t="str">
        <x:f t="shared" si="0"/>
      </x:c>
      <x:c r="J22" s="19" t="str">
        <x:f t="shared" si="1"/>
      </x:c>
      <x:c r="K22" s="19" t="str">
        <x:f>IF(I22="","",IF(I22&lt;=Скали!$B$1,"да","не"))</x:f>
      </x:c>
      <x:c r="L22" s="16"/>
      <x:c r="M22" s="16"/>
      <x:c r="N22" s="16"/>
      <x:c r="O22" s="16"/>
      <x:c r="P22" s="16"/>
      <x:c r="Q22" s="16"/>
      <x:c r="R22" s="18" t="str">
        <x:f t="shared" si="2"/>
      </x:c>
      <x:c r="S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8" t="str">
        <x:f t="shared" si="0"/>
      </x:c>
      <x:c r="J23" s="19" t="str">
        <x:f t="shared" si="1"/>
      </x:c>
      <x:c r="K23" s="19" t="str">
        <x:f>IF(I23="","",IF(I23&lt;=Скали!$B$1,"да","не"))</x:f>
      </x:c>
      <x:c r="L23" s="16"/>
      <x:c r="M23" s="16"/>
      <x:c r="N23" s="16"/>
      <x:c r="O23" s="16"/>
      <x:c r="P23" s="16"/>
      <x:c r="Q23" s="16"/>
      <x:c r="R23" s="18" t="str">
        <x:f t="shared" si="2"/>
      </x:c>
      <x:c r="S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8" t="str">
        <x:f t="shared" si="0"/>
      </x:c>
      <x:c r="J24" s="19" t="str">
        <x:f t="shared" si="1"/>
      </x:c>
      <x:c r="K24" s="19" t="str">
        <x:f>IF(I24="","",IF(I24&lt;=Скали!$B$1,"да","не"))</x:f>
      </x:c>
      <x:c r="L24" s="16"/>
      <x:c r="M24" s="16"/>
      <x:c r="N24" s="16"/>
      <x:c r="O24" s="16"/>
      <x:c r="P24" s="16"/>
      <x:c r="Q24" s="16"/>
      <x:c r="R24" s="18" t="str">
        <x:f t="shared" si="2"/>
      </x:c>
      <x:c r="S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8" t="str">
        <x:f t="shared" si="0"/>
      </x:c>
      <x:c r="J25" s="19" t="str">
        <x:f t="shared" si="1"/>
      </x:c>
      <x:c r="K25" s="19" t="str">
        <x:f>IF(I25="","",IF(I25&lt;=Скали!$B$1,"да","не"))</x:f>
      </x:c>
      <x:c r="L25" s="16"/>
      <x:c r="M25" s="16"/>
      <x:c r="N25" s="16"/>
      <x:c r="O25" s="16"/>
      <x:c r="P25" s="16"/>
      <x:c r="Q25" s="16"/>
      <x:c r="R25" s="18" t="str">
        <x:f t="shared" si="2"/>
      </x:c>
      <x:c r="S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8" t="str">
        <x:f t="shared" si="0"/>
      </x:c>
      <x:c r="J26" s="19" t="str">
        <x:f t="shared" si="1"/>
      </x:c>
      <x:c r="K26" s="19" t="str">
        <x:f>IF(I26="","",IF(I26&lt;=Скали!$B$1,"да","не"))</x:f>
      </x:c>
      <x:c r="L26" s="16"/>
      <x:c r="M26" s="16"/>
      <x:c r="N26" s="16"/>
      <x:c r="O26" s="16"/>
      <x:c r="P26" s="16"/>
      <x:c r="Q26" s="16"/>
      <x:c r="R26" s="18" t="str">
        <x:f t="shared" si="2"/>
      </x:c>
      <x:c r="S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8" t="str">
        <x:f t="shared" si="0"/>
      </x:c>
      <x:c r="J27" s="19" t="str">
        <x:f t="shared" si="1"/>
      </x:c>
      <x:c r="K27" s="19" t="str">
        <x:f>IF(I27="","",IF(I27&lt;=Скали!$B$1,"да","не"))</x:f>
      </x:c>
      <x:c r="L27" s="16"/>
      <x:c r="M27" s="16"/>
      <x:c r="N27" s="16"/>
      <x:c r="O27" s="16"/>
      <x:c r="P27" s="16"/>
      <x:c r="Q27" s="16"/>
      <x:c r="R27" s="18" t="str">
        <x:f t="shared" si="2"/>
      </x:c>
      <x:c r="S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8" t="str">
        <x:f t="shared" si="0"/>
      </x:c>
      <x:c r="J28" s="19" t="str">
        <x:f t="shared" si="1"/>
      </x:c>
      <x:c r="K28" s="19" t="str">
        <x:f>IF(I28="","",IF(I28&lt;=Скали!$B$1,"да","не"))</x:f>
      </x:c>
      <x:c r="L28" s="16"/>
      <x:c r="M28" s="16"/>
      <x:c r="N28" s="16"/>
      <x:c r="O28" s="16"/>
      <x:c r="P28" s="16"/>
      <x:c r="Q28" s="16"/>
      <x:c r="R28" s="18" t="str">
        <x:f t="shared" si="2"/>
      </x:c>
      <x:c r="S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8" t="str">
        <x:f t="shared" si="0"/>
      </x:c>
      <x:c r="J29" s="19" t="str">
        <x:f t="shared" si="1"/>
      </x:c>
      <x:c r="K29" s="19" t="str">
        <x:f>IF(I29="","",IF(I29&lt;=Скали!$B$1,"да","не"))</x:f>
      </x:c>
      <x:c r="L29" s="16"/>
      <x:c r="M29" s="16"/>
      <x:c r="N29" s="16"/>
      <x:c r="O29" s="16"/>
      <x:c r="P29" s="16"/>
      <x:c r="Q29" s="16"/>
      <x:c r="R29" s="18" t="str">
        <x:f t="shared" si="2"/>
      </x:c>
      <x:c r="S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8" t="str">
        <x:f t="shared" si="0"/>
      </x:c>
      <x:c r="J30" s="19" t="str">
        <x:f t="shared" si="1"/>
      </x:c>
      <x:c r="K30" s="19" t="str">
        <x:f>IF(I30="","",IF(I30&lt;=Скали!$B$1,"да","не"))</x:f>
      </x:c>
      <x:c r="L30" s="16"/>
      <x:c r="M30" s="16"/>
      <x:c r="N30" s="16"/>
      <x:c r="O30" s="16"/>
      <x:c r="P30" s="16"/>
      <x:c r="Q30" s="16"/>
      <x:c r="R30" s="18" t="str">
        <x:f t="shared" si="2"/>
      </x:c>
      <x:c r="S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8" t="str">
        <x:f t="shared" si="0"/>
      </x:c>
      <x:c r="J31" s="19" t="str">
        <x:f t="shared" si="1"/>
      </x:c>
      <x:c r="K31" s="19" t="str">
        <x:f>IF(I31="","",IF(I31&lt;=Скали!$B$1,"да","не"))</x:f>
      </x:c>
      <x:c r="L31" s="16"/>
      <x:c r="M31" s="16"/>
      <x:c r="N31" s="16"/>
      <x:c r="O31" s="16"/>
      <x:c r="P31" s="16"/>
      <x:c r="Q31" s="16"/>
      <x:c r="R31" s="18" t="str">
        <x:f t="shared" si="2"/>
      </x:c>
      <x:c r="S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8" t="str">
        <x:f t="shared" si="0"/>
      </x:c>
      <x:c r="J32" s="19" t="str">
        <x:f t="shared" si="1"/>
      </x:c>
      <x:c r="K32" s="19" t="str">
        <x:f>IF(I32="","",IF(I32&lt;=Скали!$B$1,"да","не"))</x:f>
      </x:c>
      <x:c r="L32" s="16"/>
      <x:c r="M32" s="16"/>
      <x:c r="N32" s="16"/>
      <x:c r="O32" s="16"/>
      <x:c r="P32" s="16"/>
      <x:c r="Q32" s="16"/>
      <x:c r="R32" s="18" t="str">
        <x:f t="shared" si="2"/>
      </x:c>
      <x:c r="S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8" t="str">
        <x:f t="shared" si="0"/>
      </x:c>
      <x:c r="J33" s="19" t="str">
        <x:f t="shared" si="1"/>
      </x:c>
      <x:c r="K33" s="19" t="str">
        <x:f>IF(I33="","",IF(I33&lt;=Скали!$B$1,"да","не"))</x:f>
      </x:c>
      <x:c r="L33" s="16"/>
      <x:c r="M33" s="16"/>
      <x:c r="N33" s="16"/>
      <x:c r="O33" s="16"/>
      <x:c r="P33" s="16"/>
      <x:c r="Q33" s="16"/>
      <x:c r="R33" s="18" t="str">
        <x:f t="shared" si="2"/>
      </x:c>
      <x:c r="S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8" t="str">
        <x:f t="shared" si="0"/>
      </x:c>
      <x:c r="J34" s="19" t="str">
        <x:f t="shared" si="1"/>
      </x:c>
      <x:c r="K34" s="19" t="str">
        <x:f>IF(I34="","",IF(I34&lt;=Скали!$B$1,"да","не"))</x:f>
      </x:c>
      <x:c r="L34" s="16"/>
      <x:c r="M34" s="16"/>
      <x:c r="N34" s="16"/>
      <x:c r="O34" s="16"/>
      <x:c r="P34" s="16"/>
      <x:c r="Q34" s="16"/>
      <x:c r="R34" s="18" t="str">
        <x:f t="shared" si="2"/>
      </x:c>
      <x:c r="S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8" t="str">
        <x:f t="shared" si="0"/>
      </x:c>
      <x:c r="J35" s="19" t="str">
        <x:f t="shared" si="1"/>
      </x:c>
      <x:c r="K35" s="19" t="str">
        <x:f>IF(I35="","",IF(I35&lt;=Скали!$B$1,"да","не"))</x:f>
      </x:c>
      <x:c r="L35" s="16"/>
      <x:c r="M35" s="16"/>
      <x:c r="N35" s="16"/>
      <x:c r="O35" s="16"/>
      <x:c r="P35" s="16"/>
      <x:c r="Q35" s="16"/>
      <x:c r="R35" s="18" t="str">
        <x:f t="shared" si="2"/>
      </x:c>
      <x:c r="S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8" t="str">
        <x:f t="shared" si="0"/>
      </x:c>
      <x:c r="J36" s="19" t="str">
        <x:f t="shared" si="1"/>
      </x:c>
      <x:c r="K36" s="19" t="str">
        <x:f>IF(I36="","",IF(I36&lt;=Скали!$B$1,"да","не"))</x:f>
      </x:c>
      <x:c r="L36" s="16"/>
      <x:c r="M36" s="16"/>
      <x:c r="N36" s="16"/>
      <x:c r="O36" s="16"/>
      <x:c r="P36" s="16"/>
      <x:c r="Q36" s="16"/>
      <x:c r="R36" s="18" t="str">
        <x:f t="shared" si="2"/>
      </x:c>
      <x:c r="S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8" t="str">
        <x:f t="shared" si="0"/>
      </x:c>
      <x:c r="J37" s="19" t="str">
        <x:f t="shared" si="1"/>
      </x:c>
      <x:c r="K37" s="19" t="str">
        <x:f>IF(I37="","",IF(I37&lt;=Скали!$B$1,"да","не"))</x:f>
      </x:c>
      <x:c r="L37" s="16"/>
      <x:c r="M37" s="16"/>
      <x:c r="N37" s="16"/>
      <x:c r="O37" s="16"/>
      <x:c r="P37" s="16"/>
      <x:c r="Q37" s="16"/>
      <x:c r="R37" s="18" t="str">
        <x:f t="shared" si="2"/>
      </x:c>
      <x:c r="S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8" t="str">
        <x:f t="shared" si="0"/>
      </x:c>
      <x:c r="J38" s="19" t="str">
        <x:f t="shared" si="1"/>
      </x:c>
      <x:c r="K38" s="19" t="str">
        <x:f>IF(I38="","",IF(I38&lt;=Скали!$B$1,"да","не"))</x:f>
      </x:c>
      <x:c r="L38" s="16"/>
      <x:c r="M38" s="16"/>
      <x:c r="N38" s="16"/>
      <x:c r="O38" s="16"/>
      <x:c r="P38" s="16"/>
      <x:c r="Q38" s="16"/>
      <x:c r="R38" s="18" t="str">
        <x:f t="shared" si="2"/>
      </x:c>
      <x:c r="S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8" t="str">
        <x:f t="shared" si="0"/>
      </x:c>
      <x:c r="J39" s="19" t="str">
        <x:f t="shared" si="1"/>
      </x:c>
      <x:c r="K39" s="19" t="str">
        <x:f>IF(I39="","",IF(I39&lt;=Скали!$B$1,"да","не"))</x:f>
      </x:c>
      <x:c r="L39" s="16"/>
      <x:c r="M39" s="16"/>
      <x:c r="N39" s="16"/>
      <x:c r="O39" s="16"/>
      <x:c r="P39" s="16"/>
      <x:c r="Q39" s="16"/>
      <x:c r="R39" s="18" t="str">
        <x:f t="shared" si="2"/>
      </x:c>
      <x:c r="S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8" t="str">
        <x:f t="shared" si="0"/>
      </x:c>
      <x:c r="J40" s="19" t="str">
        <x:f t="shared" si="1"/>
      </x:c>
      <x:c r="K40" s="19" t="str">
        <x:f>IF(I40="","",IF(I40&lt;=Скали!$B$1,"да","не"))</x:f>
      </x:c>
      <x:c r="L40" s="16"/>
      <x:c r="M40" s="16"/>
      <x:c r="N40" s="16"/>
      <x:c r="O40" s="16"/>
      <x:c r="P40" s="16"/>
      <x:c r="Q40" s="16"/>
      <x:c r="R40" s="18" t="str">
        <x:f t="shared" si="2"/>
      </x:c>
      <x:c r="S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8" t="str">
        <x:f t="shared" si="0"/>
      </x:c>
      <x:c r="J41" s="19" t="str">
        <x:f t="shared" si="1"/>
      </x:c>
      <x:c r="K41" s="19" t="str">
        <x:f>IF(I41="","",IF(I41&lt;=Скали!$B$1,"да","не"))</x:f>
      </x:c>
      <x:c r="L41" s="16"/>
      <x:c r="M41" s="16"/>
      <x:c r="N41" s="16"/>
      <x:c r="O41" s="16"/>
      <x:c r="P41" s="16"/>
      <x:c r="Q41" s="16"/>
      <x:c r="R41" s="18" t="str">
        <x:f t="shared" si="2"/>
      </x:c>
      <x:c r="S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8" t="str">
        <x:f t="shared" si="0"/>
      </x:c>
      <x:c r="J42" s="19" t="str">
        <x:f t="shared" si="1"/>
      </x:c>
      <x:c r="K42" s="19" t="str">
        <x:f>IF(I42="","",IF(I42&lt;=Скали!$B$1,"да","не"))</x:f>
      </x:c>
      <x:c r="L42" s="16"/>
      <x:c r="M42" s="16"/>
      <x:c r="N42" s="16"/>
      <x:c r="O42" s="16"/>
      <x:c r="P42" s="16"/>
      <x:c r="Q42" s="16"/>
      <x:c r="R42" s="18" t="str">
        <x:f t="shared" si="2"/>
      </x:c>
      <x:c r="S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8" t="str">
        <x:f t="shared" si="0"/>
      </x:c>
      <x:c r="J43" s="19" t="str">
        <x:f t="shared" si="1"/>
      </x:c>
      <x:c r="K43" s="19" t="str">
        <x:f>IF(I43="","",IF(I43&lt;=Скали!$B$1,"да","не"))</x:f>
      </x:c>
      <x:c r="L43" s="16"/>
      <x:c r="M43" s="16"/>
      <x:c r="N43" s="16"/>
      <x:c r="O43" s="16"/>
      <x:c r="P43" s="16"/>
      <x:c r="Q43" s="16"/>
      <x:c r="R43" s="18" t="str">
        <x:f t="shared" si="2"/>
      </x:c>
      <x:c r="S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8" t="str">
        <x:f t="shared" si="0"/>
      </x:c>
      <x:c r="J44" s="19" t="str">
        <x:f t="shared" si="1"/>
      </x:c>
      <x:c r="K44" s="19" t="str">
        <x:f>IF(I44="","",IF(I44&lt;=Скали!$B$1,"да","не"))</x:f>
      </x:c>
      <x:c r="L44" s="16"/>
      <x:c r="M44" s="16"/>
      <x:c r="N44" s="16"/>
      <x:c r="O44" s="16"/>
      <x:c r="P44" s="16"/>
      <x:c r="Q44" s="16"/>
      <x:c r="R44" s="18" t="str">
        <x:f t="shared" si="2"/>
      </x:c>
      <x:c r="S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8" t="str">
        <x:f t="shared" si="0"/>
      </x:c>
      <x:c r="J45" s="19" t="str">
        <x:f t="shared" si="1"/>
      </x:c>
      <x:c r="K45" s="19" t="str">
        <x:f>IF(I45="","",IF(I45&lt;=Скали!$B$1,"да","не"))</x:f>
      </x:c>
      <x:c r="L45" s="16"/>
      <x:c r="M45" s="16"/>
      <x:c r="N45" s="16"/>
      <x:c r="O45" s="16"/>
      <x:c r="P45" s="16"/>
      <x:c r="Q45" s="16"/>
      <x:c r="R45" s="18" t="str">
        <x:f t="shared" si="2"/>
      </x:c>
      <x:c r="S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8" t="str">
        <x:f t="shared" si="0"/>
      </x:c>
      <x:c r="J46" s="19" t="str">
        <x:f t="shared" si="1"/>
      </x:c>
      <x:c r="K46" s="19" t="str">
        <x:f>IF(I46="","",IF(I46&lt;=Скали!$B$1,"да","не"))</x:f>
      </x:c>
      <x:c r="L46" s="16"/>
      <x:c r="M46" s="16"/>
      <x:c r="N46" s="16"/>
      <x:c r="O46" s="16"/>
      <x:c r="P46" s="16"/>
      <x:c r="Q46" s="16"/>
      <x:c r="R46" s="18" t="str">
        <x:f t="shared" si="2"/>
      </x:c>
      <x:c r="S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8" t="str">
        <x:f t="shared" si="0"/>
      </x:c>
      <x:c r="J47" s="19" t="str">
        <x:f t="shared" si="1"/>
      </x:c>
      <x:c r="K47" s="19" t="str">
        <x:f>IF(I47="","",IF(I47&lt;=Скали!$B$1,"да","не"))</x:f>
      </x:c>
      <x:c r="L47" s="16"/>
      <x:c r="M47" s="16"/>
      <x:c r="N47" s="16"/>
      <x:c r="O47" s="16"/>
      <x:c r="P47" s="16"/>
      <x:c r="Q47" s="16"/>
      <x:c r="R47" s="18" t="str">
        <x:f t="shared" si="2"/>
      </x:c>
      <x:c r="S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8" t="str">
        <x:f t="shared" si="0"/>
      </x:c>
      <x:c r="J48" s="19" t="str">
        <x:f t="shared" si="1"/>
      </x:c>
      <x:c r="K48" s="19" t="str">
        <x:f>IF(I48="","",IF(I48&lt;=Скали!$B$1,"да","не"))</x:f>
      </x:c>
      <x:c r="L48" s="16"/>
      <x:c r="M48" s="16"/>
      <x:c r="N48" s="16"/>
      <x:c r="O48" s="16"/>
      <x:c r="P48" s="16"/>
      <x:c r="Q48" s="16"/>
      <x:c r="R48" s="18" t="str">
        <x:f t="shared" si="2"/>
      </x:c>
      <x:c r="S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8" t="str">
        <x:f t="shared" si="0"/>
      </x:c>
      <x:c r="J49" s="19" t="str">
        <x:f t="shared" si="1"/>
      </x:c>
      <x:c r="K49" s="19" t="str">
        <x:f>IF(I49="","",IF(I49&lt;=Скали!$B$1,"да","не"))</x:f>
      </x:c>
      <x:c r="L49" s="16"/>
      <x:c r="M49" s="16"/>
      <x:c r="N49" s="16"/>
      <x:c r="O49" s="16"/>
      <x:c r="P49" s="16"/>
      <x:c r="Q49" s="16"/>
      <x:c r="R49" s="18" t="str">
        <x:f t="shared" si="2"/>
      </x:c>
      <x:c r="S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8" t="str">
        <x:f t="shared" si="0"/>
      </x:c>
      <x:c r="J50" s="19" t="str">
        <x:f t="shared" si="1"/>
      </x:c>
      <x:c r="K50" s="19" t="str">
        <x:f>IF(I50="","",IF(I50&lt;=Скали!$B$1,"да","не"))</x:f>
      </x:c>
      <x:c r="L50" s="16"/>
      <x:c r="M50" s="16"/>
      <x:c r="N50" s="16"/>
      <x:c r="O50" s="16"/>
      <x:c r="P50" s="16"/>
      <x:c r="Q50" s="16"/>
      <x:c r="R50" s="18" t="str">
        <x:f t="shared" si="2"/>
      </x:c>
      <x:c r="S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8" t="str">
        <x:f t="shared" si="0"/>
      </x:c>
      <x:c r="J51" s="19" t="str">
        <x:f t="shared" si="1"/>
      </x:c>
      <x:c r="K51" s="19" t="str">
        <x:f>IF(I51="","",IF(I51&lt;=Скали!$B$1,"да","не"))</x:f>
      </x:c>
      <x:c r="L51" s="16"/>
      <x:c r="M51" s="16"/>
      <x:c r="N51" s="16"/>
      <x:c r="O51" s="16"/>
      <x:c r="P51" s="16"/>
      <x:c r="Q51" s="16"/>
      <x:c r="R51" s="18" t="str">
        <x:f t="shared" si="2"/>
      </x:c>
      <x:c r="S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8" t="str">
        <x:f t="shared" si="0"/>
      </x:c>
      <x:c r="J52" s="19" t="str">
        <x:f t="shared" si="1"/>
      </x:c>
      <x:c r="K52" s="19" t="str">
        <x:f>IF(I52="","",IF(I52&lt;=Скали!$B$1,"да","не"))</x:f>
      </x:c>
      <x:c r="L52" s="16"/>
      <x:c r="M52" s="16"/>
      <x:c r="N52" s="16"/>
      <x:c r="O52" s="16"/>
      <x:c r="P52" s="16"/>
      <x:c r="Q52" s="16"/>
      <x:c r="R52" s="18" t="str">
        <x:f t="shared" si="2"/>
      </x:c>
      <x:c r="S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8" t="str">
        <x:f t="shared" si="0"/>
      </x:c>
      <x:c r="J53" s="19" t="str">
        <x:f t="shared" si="1"/>
      </x:c>
      <x:c r="K53" s="19" t="str">
        <x:f>IF(I53="","",IF(I53&lt;=Скали!$B$1,"да","не"))</x:f>
      </x:c>
      <x:c r="L53" s="16"/>
      <x:c r="M53" s="16"/>
      <x:c r="N53" s="16"/>
      <x:c r="O53" s="16"/>
      <x:c r="P53" s="16"/>
      <x:c r="Q53" s="16"/>
      <x:c r="R53" s="18" t="str">
        <x:f t="shared" si="2"/>
      </x:c>
      <x:c r="S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8" t="str">
        <x:f t="shared" si="0"/>
      </x:c>
      <x:c r="J54" s="19" t="str">
        <x:f t="shared" si="1"/>
      </x:c>
      <x:c r="K54" s="19" t="str">
        <x:f>IF(I54="","",IF(I54&lt;=Скали!$B$1,"да","не"))</x:f>
      </x:c>
      <x:c r="L54" s="16"/>
      <x:c r="M54" s="16"/>
      <x:c r="N54" s="16"/>
      <x:c r="O54" s="16"/>
      <x:c r="P54" s="16"/>
      <x:c r="Q54" s="16"/>
      <x:c r="R54" s="18" t="str">
        <x:f t="shared" si="2"/>
      </x:c>
      <x:c r="S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8" t="str">
        <x:f t="shared" si="0"/>
      </x:c>
      <x:c r="J55" s="19" t="str">
        <x:f t="shared" si="1"/>
      </x:c>
      <x:c r="K55" s="19" t="str">
        <x:f>IF(I55="","",IF(I55&lt;=Скали!$B$1,"да","не"))</x:f>
      </x:c>
      <x:c r="L55" s="16"/>
      <x:c r="M55" s="16"/>
      <x:c r="N55" s="16"/>
      <x:c r="O55" s="16"/>
      <x:c r="P55" s="16"/>
      <x:c r="Q55" s="16"/>
      <x:c r="R55" s="18" t="str">
        <x:f t="shared" si="2"/>
      </x:c>
      <x:c r="S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8" t="str">
        <x:f t="shared" si="0"/>
      </x:c>
      <x:c r="J56" s="19" t="str">
        <x:f t="shared" si="1"/>
      </x:c>
      <x:c r="K56" s="19" t="str">
        <x:f>IF(I56="","",IF(I56&lt;=Скали!$B$1,"да","не"))</x:f>
      </x:c>
      <x:c r="L56" s="16"/>
      <x:c r="M56" s="16"/>
      <x:c r="N56" s="16"/>
      <x:c r="O56" s="16"/>
      <x:c r="P56" s="16"/>
      <x:c r="Q56" s="16"/>
      <x:c r="R56" s="18" t="str">
        <x:f t="shared" si="2"/>
      </x:c>
      <x:c r="S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8" t="str">
        <x:f t="shared" si="0"/>
      </x:c>
      <x:c r="J57" s="19" t="str">
        <x:f t="shared" si="1"/>
      </x:c>
      <x:c r="K57" s="19" t="str">
        <x:f>IF(I57="","",IF(I57&lt;=Скали!$B$1,"да","не"))</x:f>
      </x:c>
      <x:c r="L57" s="16"/>
      <x:c r="M57" s="16"/>
      <x:c r="N57" s="16"/>
      <x:c r="O57" s="16"/>
      <x:c r="P57" s="16"/>
      <x:c r="Q57" s="16"/>
      <x:c r="R57" s="18" t="str">
        <x:f t="shared" si="2"/>
      </x:c>
      <x:c r="S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8" t="str">
        <x:f t="shared" si="0"/>
      </x:c>
      <x:c r="J58" s="19" t="str">
        <x:f t="shared" si="1"/>
      </x:c>
      <x:c r="K58" s="19" t="str">
        <x:f>IF(I58="","",IF(I58&lt;=Скали!$B$1,"да","не"))</x:f>
      </x:c>
      <x:c r="L58" s="16"/>
      <x:c r="M58" s="16"/>
      <x:c r="N58" s="16"/>
      <x:c r="O58" s="16"/>
      <x:c r="P58" s="16"/>
      <x:c r="Q58" s="16"/>
      <x:c r="R58" s="18" t="str">
        <x:f t="shared" si="2"/>
      </x:c>
      <x:c r="S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8" t="str">
        <x:f t="shared" si="0"/>
      </x:c>
      <x:c r="J59" s="19" t="str">
        <x:f t="shared" si="1"/>
      </x:c>
      <x:c r="K59" s="19" t="str">
        <x:f>IF(I59="","",IF(I59&lt;=Скали!$B$1,"да","не"))</x:f>
      </x:c>
      <x:c r="L59" s="16"/>
      <x:c r="M59" s="16"/>
      <x:c r="N59" s="16"/>
      <x:c r="O59" s="16"/>
      <x:c r="P59" s="16"/>
      <x:c r="Q59" s="16"/>
      <x:c r="R59" s="18" t="str">
        <x:f t="shared" si="2"/>
      </x:c>
      <x:c r="S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8" t="str">
        <x:f t="shared" si="0"/>
      </x:c>
      <x:c r="J60" s="19" t="str">
        <x:f t="shared" si="1"/>
      </x:c>
      <x:c r="K60" s="19" t="str">
        <x:f>IF(I60="","",IF(I60&lt;=Скали!$B$1,"да","не"))</x:f>
      </x:c>
      <x:c r="L60" s="16"/>
      <x:c r="M60" s="16"/>
      <x:c r="N60" s="16"/>
      <x:c r="O60" s="16"/>
      <x:c r="P60" s="16"/>
      <x:c r="Q60" s="16"/>
      <x:c r="R60" s="18" t="str">
        <x:f t="shared" si="2"/>
      </x:c>
      <x:c r="S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8" t="str">
        <x:f t="shared" si="0"/>
      </x:c>
      <x:c r="J61" s="19" t="str">
        <x:f t="shared" si="1"/>
      </x:c>
      <x:c r="K61" s="19" t="str">
        <x:f>IF(I61="","",IF(I61&lt;=Скали!$B$1,"да","не"))</x:f>
      </x:c>
      <x:c r="L61" s="16"/>
      <x:c r="M61" s="16"/>
      <x:c r="N61" s="16"/>
      <x:c r="O61" s="16"/>
      <x:c r="P61" s="16"/>
      <x:c r="Q61" s="16"/>
      <x:c r="R61" s="18" t="str">
        <x:f t="shared" si="2"/>
      </x:c>
      <x:c r="S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8" t="str">
        <x:f t="shared" si="0"/>
      </x:c>
      <x:c r="J62" s="19" t="str">
        <x:f t="shared" si="1"/>
      </x:c>
      <x:c r="K62" s="19" t="str">
        <x:f>IF(I62="","",IF(I62&lt;=Скали!$B$1,"да","не"))</x:f>
      </x:c>
      <x:c r="L62" s="16"/>
      <x:c r="M62" s="16"/>
      <x:c r="N62" s="16"/>
      <x:c r="O62" s="16"/>
      <x:c r="P62" s="16"/>
      <x:c r="Q62" s="16"/>
      <x:c r="R62" s="18" t="str">
        <x:f t="shared" si="2"/>
      </x:c>
      <x:c r="S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8" t="str">
        <x:f t="shared" si="0"/>
      </x:c>
      <x:c r="J63" s="19" t="str">
        <x:f t="shared" si="1"/>
      </x:c>
      <x:c r="K63" s="19" t="str">
        <x:f>IF(I63="","",IF(I63&lt;=Скали!$B$1,"да","не"))</x:f>
      </x:c>
      <x:c r="L63" s="16"/>
      <x:c r="M63" s="16"/>
      <x:c r="N63" s="16"/>
      <x:c r="O63" s="16"/>
      <x:c r="P63" s="16"/>
      <x:c r="Q63" s="16"/>
      <x:c r="R63" s="18" t="str">
        <x:f t="shared" si="2"/>
      </x:c>
      <x:c r="S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8" t="str">
        <x:f t="shared" si="0"/>
      </x:c>
      <x:c r="J64" s="19" t="str">
        <x:f t="shared" si="1"/>
      </x:c>
      <x:c r="K64" s="19" t="str">
        <x:f>IF(I64="","",IF(I64&lt;=Скали!$B$1,"да","не"))</x:f>
      </x:c>
      <x:c r="L64" s="16"/>
      <x:c r="M64" s="16"/>
      <x:c r="N64" s="16"/>
      <x:c r="O64" s="16"/>
      <x:c r="P64" s="16"/>
      <x:c r="Q64" s="16"/>
      <x:c r="R64" s="18" t="str">
        <x:f t="shared" si="2"/>
      </x:c>
      <x:c r="S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8" t="str">
        <x:f t="shared" si="0"/>
      </x:c>
      <x:c r="J65" s="19" t="str">
        <x:f t="shared" si="1"/>
      </x:c>
      <x:c r="K65" s="19" t="str">
        <x:f>IF(I65="","",IF(I65&lt;=Скали!$B$1,"да","не"))</x:f>
      </x:c>
      <x:c r="L65" s="16"/>
      <x:c r="M65" s="16"/>
      <x:c r="N65" s="16"/>
      <x:c r="O65" s="16"/>
      <x:c r="P65" s="16"/>
      <x:c r="Q65" s="16"/>
      <x:c r="R65" s="18" t="str">
        <x:f t="shared" si="2"/>
      </x:c>
      <x:c r="S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8" t="str">
        <x:f t="shared" ref="I66:I129" si="3">IF(OR(G66="",H66=""),"",G66*H66)</x:f>
      </x:c>
      <x:c r="J66" s="19" t="str">
        <x:f t="shared" ref="J66:J129" si="4">IF(I66="","",IF(I66&lt;=4,"нисък",IF(I66&lt;=9,"умерен",IF(I66&lt;=15,"висок","критичен"))))</x:f>
      </x:c>
      <x:c r="K66" s="19" t="str">
        <x:f>IF(I66="","",IF(I66&lt;=Скали!$B$1,"да","не"))</x:f>
      </x:c>
      <x:c r="L66" s="16"/>
      <x:c r="M66" s="16"/>
      <x:c r="N66" s="16"/>
      <x:c r="O66" s="16"/>
      <x:c r="P66" s="16"/>
      <x:c r="Q66" s="16"/>
      <x:c r="R66" s="18" t="str">
        <x:f t="shared" ref="R66:R129" si="5">IF(OR(P66="",Q66=""),"",P66*Q66)</x:f>
      </x:c>
      <x:c r="S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8" t="str">
        <x:f t="shared" si="3"/>
      </x:c>
      <x:c r="J67" s="19" t="str">
        <x:f t="shared" si="4"/>
      </x:c>
      <x:c r="K67" s="19" t="str">
        <x:f>IF(I67="","",IF(I67&lt;=Скали!$B$1,"да","не"))</x:f>
      </x:c>
      <x:c r="L67" s="16"/>
      <x:c r="M67" s="16"/>
      <x:c r="N67" s="16"/>
      <x:c r="O67" s="16"/>
      <x:c r="P67" s="16"/>
      <x:c r="Q67" s="16"/>
      <x:c r="R67" s="18" t="str">
        <x:f t="shared" si="5"/>
      </x:c>
      <x:c r="S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8" t="str">
        <x:f t="shared" si="3"/>
      </x:c>
      <x:c r="J68" s="19" t="str">
        <x:f t="shared" si="4"/>
      </x:c>
      <x:c r="K68" s="19" t="str">
        <x:f>IF(I68="","",IF(I68&lt;=Скали!$B$1,"да","не"))</x:f>
      </x:c>
      <x:c r="L68" s="16"/>
      <x:c r="M68" s="16"/>
      <x:c r="N68" s="16"/>
      <x:c r="O68" s="16"/>
      <x:c r="P68" s="16"/>
      <x:c r="Q68" s="16"/>
      <x:c r="R68" s="18" t="str">
        <x:f t="shared" si="5"/>
      </x:c>
      <x:c r="S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8" t="str">
        <x:f t="shared" si="3"/>
      </x:c>
      <x:c r="J69" s="19" t="str">
        <x:f t="shared" si="4"/>
      </x:c>
      <x:c r="K69" s="19" t="str">
        <x:f>IF(I69="","",IF(I69&lt;=Скали!$B$1,"да","не"))</x:f>
      </x:c>
      <x:c r="L69" s="16"/>
      <x:c r="M69" s="16"/>
      <x:c r="N69" s="16"/>
      <x:c r="O69" s="16"/>
      <x:c r="P69" s="16"/>
      <x:c r="Q69" s="16"/>
      <x:c r="R69" s="18" t="str">
        <x:f t="shared" si="5"/>
      </x:c>
      <x:c r="S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8" t="str">
        <x:f t="shared" si="3"/>
      </x:c>
      <x:c r="J70" s="19" t="str">
        <x:f t="shared" si="4"/>
      </x:c>
      <x:c r="K70" s="19" t="str">
        <x:f>IF(I70="","",IF(I70&lt;=Скали!$B$1,"да","не"))</x:f>
      </x:c>
      <x:c r="L70" s="16"/>
      <x:c r="M70" s="16"/>
      <x:c r="N70" s="16"/>
      <x:c r="O70" s="16"/>
      <x:c r="P70" s="16"/>
      <x:c r="Q70" s="16"/>
      <x:c r="R70" s="18" t="str">
        <x:f t="shared" si="5"/>
      </x:c>
      <x:c r="S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8" t="str">
        <x:f t="shared" si="3"/>
      </x:c>
      <x:c r="J71" s="19" t="str">
        <x:f t="shared" si="4"/>
      </x:c>
      <x:c r="K71" s="19" t="str">
        <x:f>IF(I71="","",IF(I71&lt;=Скали!$B$1,"да","не"))</x:f>
      </x:c>
      <x:c r="L71" s="16"/>
      <x:c r="M71" s="16"/>
      <x:c r="N71" s="16"/>
      <x:c r="O71" s="16"/>
      <x:c r="P71" s="16"/>
      <x:c r="Q71" s="16"/>
      <x:c r="R71" s="18" t="str">
        <x:f t="shared" si="5"/>
      </x:c>
      <x:c r="S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8" t="str">
        <x:f t="shared" si="3"/>
      </x:c>
      <x:c r="J72" s="19" t="str">
        <x:f t="shared" si="4"/>
      </x:c>
      <x:c r="K72" s="19" t="str">
        <x:f>IF(I72="","",IF(I72&lt;=Скали!$B$1,"да","не"))</x:f>
      </x:c>
      <x:c r="L72" s="16"/>
      <x:c r="M72" s="16"/>
      <x:c r="N72" s="16"/>
      <x:c r="O72" s="16"/>
      <x:c r="P72" s="16"/>
      <x:c r="Q72" s="16"/>
      <x:c r="R72" s="18" t="str">
        <x:f t="shared" si="5"/>
      </x:c>
      <x:c r="S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8" t="str">
        <x:f t="shared" si="3"/>
      </x:c>
      <x:c r="J73" s="19" t="str">
        <x:f t="shared" si="4"/>
      </x:c>
      <x:c r="K73" s="19" t="str">
        <x:f>IF(I73="","",IF(I73&lt;=Скали!$B$1,"да","не"))</x:f>
      </x:c>
      <x:c r="L73" s="16"/>
      <x:c r="M73" s="16"/>
      <x:c r="N73" s="16"/>
      <x:c r="O73" s="16"/>
      <x:c r="P73" s="16"/>
      <x:c r="Q73" s="16"/>
      <x:c r="R73" s="18" t="str">
        <x:f t="shared" si="5"/>
      </x:c>
      <x:c r="S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8" t="str">
        <x:f t="shared" si="3"/>
      </x:c>
      <x:c r="J74" s="19" t="str">
        <x:f t="shared" si="4"/>
      </x:c>
      <x:c r="K74" s="19" t="str">
        <x:f>IF(I74="","",IF(I74&lt;=Скали!$B$1,"да","не"))</x:f>
      </x:c>
      <x:c r="L74" s="16"/>
      <x:c r="M74" s="16"/>
      <x:c r="N74" s="16"/>
      <x:c r="O74" s="16"/>
      <x:c r="P74" s="16"/>
      <x:c r="Q74" s="16"/>
      <x:c r="R74" s="18" t="str">
        <x:f t="shared" si="5"/>
      </x:c>
      <x:c r="S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8" t="str">
        <x:f t="shared" si="3"/>
      </x:c>
      <x:c r="J75" s="19" t="str">
        <x:f t="shared" si="4"/>
      </x:c>
      <x:c r="K75" s="19" t="str">
        <x:f>IF(I75="","",IF(I75&lt;=Скали!$B$1,"да","не"))</x:f>
      </x:c>
      <x:c r="L75" s="16"/>
      <x:c r="M75" s="16"/>
      <x:c r="N75" s="16"/>
      <x:c r="O75" s="16"/>
      <x:c r="P75" s="16"/>
      <x:c r="Q75" s="16"/>
      <x:c r="R75" s="18" t="str">
        <x:f t="shared" si="5"/>
      </x:c>
      <x:c r="S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8" t="str">
        <x:f t="shared" si="3"/>
      </x:c>
      <x:c r="J76" s="19" t="str">
        <x:f t="shared" si="4"/>
      </x:c>
      <x:c r="K76" s="19" t="str">
        <x:f>IF(I76="","",IF(I76&lt;=Скали!$B$1,"да","не"))</x:f>
      </x:c>
      <x:c r="L76" s="16"/>
      <x:c r="M76" s="16"/>
      <x:c r="N76" s="16"/>
      <x:c r="O76" s="16"/>
      <x:c r="P76" s="16"/>
      <x:c r="Q76" s="16"/>
      <x:c r="R76" s="18" t="str">
        <x:f t="shared" si="5"/>
      </x:c>
      <x:c r="S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8" t="str">
        <x:f t="shared" si="3"/>
      </x:c>
      <x:c r="J77" s="19" t="str">
        <x:f t="shared" si="4"/>
      </x:c>
      <x:c r="K77" s="19" t="str">
        <x:f>IF(I77="","",IF(I77&lt;=Скали!$B$1,"да","не"))</x:f>
      </x:c>
      <x:c r="L77" s="16"/>
      <x:c r="M77" s="16"/>
      <x:c r="N77" s="16"/>
      <x:c r="O77" s="16"/>
      <x:c r="P77" s="16"/>
      <x:c r="Q77" s="16"/>
      <x:c r="R77" s="18" t="str">
        <x:f t="shared" si="5"/>
      </x:c>
      <x:c r="S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8" t="str">
        <x:f t="shared" si="3"/>
      </x:c>
      <x:c r="J78" s="19" t="str">
        <x:f t="shared" si="4"/>
      </x:c>
      <x:c r="K78" s="19" t="str">
        <x:f>IF(I78="","",IF(I78&lt;=Скали!$B$1,"да","не"))</x:f>
      </x:c>
      <x:c r="L78" s="16"/>
      <x:c r="M78" s="16"/>
      <x:c r="N78" s="16"/>
      <x:c r="O78" s="16"/>
      <x:c r="P78" s="16"/>
      <x:c r="Q78" s="16"/>
      <x:c r="R78" s="18" t="str">
        <x:f t="shared" si="5"/>
      </x:c>
      <x:c r="S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8" t="str">
        <x:f t="shared" si="3"/>
      </x:c>
      <x:c r="J79" s="19" t="str">
        <x:f t="shared" si="4"/>
      </x:c>
      <x:c r="K79" s="19" t="str">
        <x:f>IF(I79="","",IF(I79&lt;=Скали!$B$1,"да","не"))</x:f>
      </x:c>
      <x:c r="L79" s="16"/>
      <x:c r="M79" s="16"/>
      <x:c r="N79" s="16"/>
      <x:c r="O79" s="16"/>
      <x:c r="P79" s="16"/>
      <x:c r="Q79" s="16"/>
      <x:c r="R79" s="18" t="str">
        <x:f t="shared" si="5"/>
      </x:c>
      <x:c r="S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8" t="str">
        <x:f t="shared" si="3"/>
      </x:c>
      <x:c r="J80" s="19" t="str">
        <x:f t="shared" si="4"/>
      </x:c>
      <x:c r="K80" s="19" t="str">
        <x:f>IF(I80="","",IF(I80&lt;=Скали!$B$1,"да","не"))</x:f>
      </x:c>
      <x:c r="L80" s="16"/>
      <x:c r="M80" s="16"/>
      <x:c r="N80" s="16"/>
      <x:c r="O80" s="16"/>
      <x:c r="P80" s="16"/>
      <x:c r="Q80" s="16"/>
      <x:c r="R80" s="18" t="str">
        <x:f t="shared" si="5"/>
      </x:c>
      <x:c r="S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8" t="str">
        <x:f t="shared" si="3"/>
      </x:c>
      <x:c r="J81" s="19" t="str">
        <x:f t="shared" si="4"/>
      </x:c>
      <x:c r="K81" s="19" t="str">
        <x:f>IF(I81="","",IF(I81&lt;=Скали!$B$1,"да","не"))</x:f>
      </x:c>
      <x:c r="L81" s="16"/>
      <x:c r="M81" s="16"/>
      <x:c r="N81" s="16"/>
      <x:c r="O81" s="16"/>
      <x:c r="P81" s="16"/>
      <x:c r="Q81" s="16"/>
      <x:c r="R81" s="18" t="str">
        <x:f t="shared" si="5"/>
      </x:c>
      <x:c r="S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8" t="str">
        <x:f t="shared" si="3"/>
      </x:c>
      <x:c r="J82" s="19" t="str">
        <x:f t="shared" si="4"/>
      </x:c>
      <x:c r="K82" s="19" t="str">
        <x:f>IF(I82="","",IF(I82&lt;=Скали!$B$1,"да","не"))</x:f>
      </x:c>
      <x:c r="L82" s="16"/>
      <x:c r="M82" s="16"/>
      <x:c r="N82" s="16"/>
      <x:c r="O82" s="16"/>
      <x:c r="P82" s="16"/>
      <x:c r="Q82" s="16"/>
      <x:c r="R82" s="18" t="str">
        <x:f t="shared" si="5"/>
      </x:c>
      <x:c r="S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8" t="str">
        <x:f t="shared" si="3"/>
      </x:c>
      <x:c r="J83" s="19" t="str">
        <x:f t="shared" si="4"/>
      </x:c>
      <x:c r="K83" s="19" t="str">
        <x:f>IF(I83="","",IF(I83&lt;=Скали!$B$1,"да","не"))</x:f>
      </x:c>
      <x:c r="L83" s="16"/>
      <x:c r="M83" s="16"/>
      <x:c r="N83" s="16"/>
      <x:c r="O83" s="16"/>
      <x:c r="P83" s="16"/>
      <x:c r="Q83" s="16"/>
      <x:c r="R83" s="18" t="str">
        <x:f t="shared" si="5"/>
      </x:c>
      <x:c r="S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8" t="str">
        <x:f t="shared" si="3"/>
      </x:c>
      <x:c r="J84" s="19" t="str">
        <x:f t="shared" si="4"/>
      </x:c>
      <x:c r="K84" s="19" t="str">
        <x:f>IF(I84="","",IF(I84&lt;=Скали!$B$1,"да","не"))</x:f>
      </x:c>
      <x:c r="L84" s="16"/>
      <x:c r="M84" s="16"/>
      <x:c r="N84" s="16"/>
      <x:c r="O84" s="16"/>
      <x:c r="P84" s="16"/>
      <x:c r="Q84" s="16"/>
      <x:c r="R84" s="18" t="str">
        <x:f t="shared" si="5"/>
      </x:c>
      <x:c r="S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8" t="str">
        <x:f t="shared" si="3"/>
      </x:c>
      <x:c r="J85" s="19" t="str">
        <x:f t="shared" si="4"/>
      </x:c>
      <x:c r="K85" s="19" t="str">
        <x:f>IF(I85="","",IF(I85&lt;=Скали!$B$1,"да","не"))</x:f>
      </x:c>
      <x:c r="L85" s="16"/>
      <x:c r="M85" s="16"/>
      <x:c r="N85" s="16"/>
      <x:c r="O85" s="16"/>
      <x:c r="P85" s="16"/>
      <x:c r="Q85" s="16"/>
      <x:c r="R85" s="18" t="str">
        <x:f t="shared" si="5"/>
      </x:c>
      <x:c r="S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8" t="str">
        <x:f t="shared" si="3"/>
      </x:c>
      <x:c r="J86" s="19" t="str">
        <x:f t="shared" si="4"/>
      </x:c>
      <x:c r="K86" s="19" t="str">
        <x:f>IF(I86="","",IF(I86&lt;=Скали!$B$1,"да","не"))</x:f>
      </x:c>
      <x:c r="L86" s="16"/>
      <x:c r="M86" s="16"/>
      <x:c r="N86" s="16"/>
      <x:c r="O86" s="16"/>
      <x:c r="P86" s="16"/>
      <x:c r="Q86" s="16"/>
      <x:c r="R86" s="18" t="str">
        <x:f t="shared" si="5"/>
      </x:c>
      <x:c r="S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8" t="str">
        <x:f t="shared" si="3"/>
      </x:c>
      <x:c r="J87" s="19" t="str">
        <x:f t="shared" si="4"/>
      </x:c>
      <x:c r="K87" s="19" t="str">
        <x:f>IF(I87="","",IF(I87&lt;=Скали!$B$1,"да","не"))</x:f>
      </x:c>
      <x:c r="L87" s="16"/>
      <x:c r="M87" s="16"/>
      <x:c r="N87" s="16"/>
      <x:c r="O87" s="16"/>
      <x:c r="P87" s="16"/>
      <x:c r="Q87" s="16"/>
      <x:c r="R87" s="18" t="str">
        <x:f t="shared" si="5"/>
      </x:c>
      <x:c r="S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8" t="str">
        <x:f t="shared" si="3"/>
      </x:c>
      <x:c r="J88" s="19" t="str">
        <x:f t="shared" si="4"/>
      </x:c>
      <x:c r="K88" s="19" t="str">
        <x:f>IF(I88="","",IF(I88&lt;=Скали!$B$1,"да","не"))</x:f>
      </x:c>
      <x:c r="L88" s="16"/>
      <x:c r="M88" s="16"/>
      <x:c r="N88" s="16"/>
      <x:c r="O88" s="16"/>
      <x:c r="P88" s="16"/>
      <x:c r="Q88" s="16"/>
      <x:c r="R88" s="18" t="str">
        <x:f t="shared" si="5"/>
      </x:c>
      <x:c r="S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8" t="str">
        <x:f t="shared" si="3"/>
      </x:c>
      <x:c r="J89" s="19" t="str">
        <x:f t="shared" si="4"/>
      </x:c>
      <x:c r="K89" s="19" t="str">
        <x:f>IF(I89="","",IF(I89&lt;=Скали!$B$1,"да","не"))</x:f>
      </x:c>
      <x:c r="L89" s="16"/>
      <x:c r="M89" s="16"/>
      <x:c r="N89" s="16"/>
      <x:c r="O89" s="16"/>
      <x:c r="P89" s="16"/>
      <x:c r="Q89" s="16"/>
      <x:c r="R89" s="18" t="str">
        <x:f t="shared" si="5"/>
      </x:c>
      <x:c r="S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8" t="str">
        <x:f t="shared" si="3"/>
      </x:c>
      <x:c r="J90" s="19" t="str">
        <x:f t="shared" si="4"/>
      </x:c>
      <x:c r="K90" s="19" t="str">
        <x:f>IF(I90="","",IF(I90&lt;=Скали!$B$1,"да","не"))</x:f>
      </x:c>
      <x:c r="L90" s="16"/>
      <x:c r="M90" s="16"/>
      <x:c r="N90" s="16"/>
      <x:c r="O90" s="16"/>
      <x:c r="P90" s="16"/>
      <x:c r="Q90" s="16"/>
      <x:c r="R90" s="18" t="str">
        <x:f t="shared" si="5"/>
      </x:c>
      <x:c r="S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8" t="str">
        <x:f t="shared" si="3"/>
      </x:c>
      <x:c r="J91" s="19" t="str">
        <x:f t="shared" si="4"/>
      </x:c>
      <x:c r="K91" s="19" t="str">
        <x:f>IF(I91="","",IF(I91&lt;=Скали!$B$1,"да","не"))</x:f>
      </x:c>
      <x:c r="L91" s="16"/>
      <x:c r="M91" s="16"/>
      <x:c r="N91" s="16"/>
      <x:c r="O91" s="16"/>
      <x:c r="P91" s="16"/>
      <x:c r="Q91" s="16"/>
      <x:c r="R91" s="18" t="str">
        <x:f t="shared" si="5"/>
      </x:c>
      <x:c r="S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8" t="str">
        <x:f t="shared" si="3"/>
      </x:c>
      <x:c r="J92" s="19" t="str">
        <x:f t="shared" si="4"/>
      </x:c>
      <x:c r="K92" s="19" t="str">
        <x:f>IF(I92="","",IF(I92&lt;=Скали!$B$1,"да","не"))</x:f>
      </x:c>
      <x:c r="L92" s="16"/>
      <x:c r="M92" s="16"/>
      <x:c r="N92" s="16"/>
      <x:c r="O92" s="16"/>
      <x:c r="P92" s="16"/>
      <x:c r="Q92" s="16"/>
      <x:c r="R92" s="18" t="str">
        <x:f t="shared" si="5"/>
      </x:c>
      <x:c r="S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8" t="str">
        <x:f t="shared" si="3"/>
      </x:c>
      <x:c r="J93" s="19" t="str">
        <x:f t="shared" si="4"/>
      </x:c>
      <x:c r="K93" s="19" t="str">
        <x:f>IF(I93="","",IF(I93&lt;=Скали!$B$1,"да","не"))</x:f>
      </x:c>
      <x:c r="L93" s="16"/>
      <x:c r="M93" s="16"/>
      <x:c r="N93" s="16"/>
      <x:c r="O93" s="16"/>
      <x:c r="P93" s="16"/>
      <x:c r="Q93" s="16"/>
      <x:c r="R93" s="18" t="str">
        <x:f t="shared" si="5"/>
      </x:c>
      <x:c r="S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8" t="str">
        <x:f t="shared" si="3"/>
      </x:c>
      <x:c r="J94" s="19" t="str">
        <x:f t="shared" si="4"/>
      </x:c>
      <x:c r="K94" s="19" t="str">
        <x:f>IF(I94="","",IF(I94&lt;=Скали!$B$1,"да","не"))</x:f>
      </x:c>
      <x:c r="L94" s="16"/>
      <x:c r="M94" s="16"/>
      <x:c r="N94" s="16"/>
      <x:c r="O94" s="16"/>
      <x:c r="P94" s="16"/>
      <x:c r="Q94" s="16"/>
      <x:c r="R94" s="18" t="str">
        <x:f t="shared" si="5"/>
      </x:c>
      <x:c r="S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8" t="str">
        <x:f t="shared" si="3"/>
      </x:c>
      <x:c r="J95" s="19" t="str">
        <x:f t="shared" si="4"/>
      </x:c>
      <x:c r="K95" s="19" t="str">
        <x:f>IF(I95="","",IF(I95&lt;=Скали!$B$1,"да","не"))</x:f>
      </x:c>
      <x:c r="L95" s="16"/>
      <x:c r="M95" s="16"/>
      <x:c r="N95" s="16"/>
      <x:c r="O95" s="16"/>
      <x:c r="P95" s="16"/>
      <x:c r="Q95" s="16"/>
      <x:c r="R95" s="18" t="str">
        <x:f t="shared" si="5"/>
      </x:c>
      <x:c r="S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8" t="str">
        <x:f t="shared" si="3"/>
      </x:c>
      <x:c r="J96" s="19" t="str">
        <x:f t="shared" si="4"/>
      </x:c>
      <x:c r="K96" s="19" t="str">
        <x:f>IF(I96="","",IF(I96&lt;=Скали!$B$1,"да","не"))</x:f>
      </x:c>
      <x:c r="L96" s="16"/>
      <x:c r="M96" s="16"/>
      <x:c r="N96" s="16"/>
      <x:c r="O96" s="16"/>
      <x:c r="P96" s="16"/>
      <x:c r="Q96" s="16"/>
      <x:c r="R96" s="18" t="str">
        <x:f t="shared" si="5"/>
      </x:c>
      <x:c r="S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8" t="str">
        <x:f t="shared" si="3"/>
      </x:c>
      <x:c r="J97" s="19" t="str">
        <x:f t="shared" si="4"/>
      </x:c>
      <x:c r="K97" s="19" t="str">
        <x:f>IF(I97="","",IF(I97&lt;=Скали!$B$1,"да","не"))</x:f>
      </x:c>
      <x:c r="L97" s="16"/>
      <x:c r="M97" s="16"/>
      <x:c r="N97" s="16"/>
      <x:c r="O97" s="16"/>
      <x:c r="P97" s="16"/>
      <x:c r="Q97" s="16"/>
      <x:c r="R97" s="18" t="str">
        <x:f t="shared" si="5"/>
      </x:c>
      <x:c r="S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8" t="str">
        <x:f t="shared" si="3"/>
      </x:c>
      <x:c r="J98" s="19" t="str">
        <x:f t="shared" si="4"/>
      </x:c>
      <x:c r="K98" s="19" t="str">
        <x:f>IF(I98="","",IF(I98&lt;=Скали!$B$1,"да","не"))</x:f>
      </x:c>
      <x:c r="L98" s="16"/>
      <x:c r="M98" s="16"/>
      <x:c r="N98" s="16"/>
      <x:c r="O98" s="16"/>
      <x:c r="P98" s="16"/>
      <x:c r="Q98" s="16"/>
      <x:c r="R98" s="18" t="str">
        <x:f t="shared" si="5"/>
      </x:c>
      <x:c r="S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8" t="str">
        <x:f t="shared" si="3"/>
      </x:c>
      <x:c r="J99" s="19" t="str">
        <x:f t="shared" si="4"/>
      </x:c>
      <x:c r="K99" s="19" t="str">
        <x:f>IF(I99="","",IF(I99&lt;=Скали!$B$1,"да","не"))</x:f>
      </x:c>
      <x:c r="L99" s="16"/>
      <x:c r="M99" s="16"/>
      <x:c r="N99" s="16"/>
      <x:c r="O99" s="16"/>
      <x:c r="P99" s="16"/>
      <x:c r="Q99" s="16"/>
      <x:c r="R99" s="18" t="str">
        <x:f t="shared" si="5"/>
      </x:c>
      <x:c r="S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8" t="str">
        <x:f t="shared" si="3"/>
      </x:c>
      <x:c r="J100" s="19" t="str">
        <x:f t="shared" si="4"/>
      </x:c>
      <x:c r="K100" s="19" t="str">
        <x:f>IF(I100="","",IF(I100&lt;=Скали!$B$1,"да","не"))</x:f>
      </x:c>
      <x:c r="L100" s="16"/>
      <x:c r="M100" s="16"/>
      <x:c r="N100" s="16"/>
      <x:c r="O100" s="16"/>
      <x:c r="P100" s="16"/>
      <x:c r="Q100" s="16"/>
      <x:c r="R100" s="18" t="str">
        <x:f t="shared" si="5"/>
      </x:c>
      <x:c r="S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8" t="str">
        <x:f t="shared" si="3"/>
      </x:c>
      <x:c r="J101" s="19" t="str">
        <x:f t="shared" si="4"/>
      </x:c>
      <x:c r="K101" s="19" t="str">
        <x:f>IF(I101="","",IF(I101&lt;=Скали!$B$1,"да","не"))</x:f>
      </x:c>
      <x:c r="L101" s="16"/>
      <x:c r="M101" s="16"/>
      <x:c r="N101" s="16"/>
      <x:c r="O101" s="16"/>
      <x:c r="P101" s="16"/>
      <x:c r="Q101" s="16"/>
      <x:c r="R101" s="18" t="str">
        <x:f t="shared" si="5"/>
      </x:c>
      <x:c r="S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8" t="str">
        <x:f t="shared" si="3"/>
      </x:c>
      <x:c r="J102" s="19" t="str">
        <x:f t="shared" si="4"/>
      </x:c>
      <x:c r="K102" s="19" t="str">
        <x:f>IF(I102="","",IF(I102&lt;=Скали!$B$1,"да","не"))</x:f>
      </x:c>
      <x:c r="L102" s="16"/>
      <x:c r="M102" s="16"/>
      <x:c r="N102" s="16"/>
      <x:c r="O102" s="16"/>
      <x:c r="P102" s="16"/>
      <x:c r="Q102" s="16"/>
      <x:c r="R102" s="18" t="str">
        <x:f t="shared" si="5"/>
      </x:c>
      <x:c r="S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8" t="str">
        <x:f t="shared" si="3"/>
      </x:c>
      <x:c r="J103" s="19" t="str">
        <x:f t="shared" si="4"/>
      </x:c>
      <x:c r="K103" s="19" t="str">
        <x:f>IF(I103="","",IF(I103&lt;=Скали!$B$1,"да","не"))</x:f>
      </x:c>
      <x:c r="L103" s="16"/>
      <x:c r="M103" s="16"/>
      <x:c r="N103" s="16"/>
      <x:c r="O103" s="16"/>
      <x:c r="P103" s="16"/>
      <x:c r="Q103" s="16"/>
      <x:c r="R103" s="18" t="str">
        <x:f t="shared" si="5"/>
      </x:c>
      <x:c r="S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8" t="str">
        <x:f t="shared" si="3"/>
      </x:c>
      <x:c r="J104" s="19" t="str">
        <x:f t="shared" si="4"/>
      </x:c>
      <x:c r="K104" s="19" t="str">
        <x:f>IF(I104="","",IF(I104&lt;=Скали!$B$1,"да","не"))</x:f>
      </x:c>
      <x:c r="L104" s="16"/>
      <x:c r="M104" s="16"/>
      <x:c r="N104" s="16"/>
      <x:c r="O104" s="16"/>
      <x:c r="P104" s="16"/>
      <x:c r="Q104" s="16"/>
      <x:c r="R104" s="18" t="str">
        <x:f t="shared" si="5"/>
      </x:c>
      <x:c r="S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8" t="str">
        <x:f t="shared" si="3"/>
      </x:c>
      <x:c r="J105" s="19" t="str">
        <x:f t="shared" si="4"/>
      </x:c>
      <x:c r="K105" s="19" t="str">
        <x:f>IF(I105="","",IF(I105&lt;=Скали!$B$1,"да","не"))</x:f>
      </x:c>
      <x:c r="L105" s="16"/>
      <x:c r="M105" s="16"/>
      <x:c r="N105" s="16"/>
      <x:c r="O105" s="16"/>
      <x:c r="P105" s="16"/>
      <x:c r="Q105" s="16"/>
      <x:c r="R105" s="18" t="str">
        <x:f t="shared" si="5"/>
      </x:c>
      <x:c r="S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8" t="str">
        <x:f t="shared" si="3"/>
      </x:c>
      <x:c r="J106" s="19" t="str">
        <x:f t="shared" si="4"/>
      </x:c>
      <x:c r="K106" s="19" t="str">
        <x:f>IF(I106="","",IF(I106&lt;=Скали!$B$1,"да","не"))</x:f>
      </x:c>
      <x:c r="L106" s="16"/>
      <x:c r="M106" s="16"/>
      <x:c r="N106" s="16"/>
      <x:c r="O106" s="16"/>
      <x:c r="P106" s="16"/>
      <x:c r="Q106" s="16"/>
      <x:c r="R106" s="18" t="str">
        <x:f t="shared" si="5"/>
      </x:c>
      <x:c r="S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8" t="str">
        <x:f t="shared" si="3"/>
      </x:c>
      <x:c r="J107" s="19" t="str">
        <x:f t="shared" si="4"/>
      </x:c>
      <x:c r="K107" s="19" t="str">
        <x:f>IF(I107="","",IF(I107&lt;=Скали!$B$1,"да","не"))</x:f>
      </x:c>
      <x:c r="L107" s="16"/>
      <x:c r="M107" s="16"/>
      <x:c r="N107" s="16"/>
      <x:c r="O107" s="16"/>
      <x:c r="P107" s="16"/>
      <x:c r="Q107" s="16"/>
      <x:c r="R107" s="18" t="str">
        <x:f t="shared" si="5"/>
      </x:c>
      <x:c r="S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8" t="str">
        <x:f t="shared" si="3"/>
      </x:c>
      <x:c r="J108" s="19" t="str">
        <x:f t="shared" si="4"/>
      </x:c>
      <x:c r="K108" s="19" t="str">
        <x:f>IF(I108="","",IF(I108&lt;=Скали!$B$1,"да","не"))</x:f>
      </x:c>
      <x:c r="L108" s="16"/>
      <x:c r="M108" s="16"/>
      <x:c r="N108" s="16"/>
      <x:c r="O108" s="16"/>
      <x:c r="P108" s="16"/>
      <x:c r="Q108" s="16"/>
      <x:c r="R108" s="18" t="str">
        <x:f t="shared" si="5"/>
      </x:c>
      <x:c r="S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8" t="str">
        <x:f t="shared" si="3"/>
      </x:c>
      <x:c r="J109" s="19" t="str">
        <x:f t="shared" si="4"/>
      </x:c>
      <x:c r="K109" s="19" t="str">
        <x:f>IF(I109="","",IF(I109&lt;=Скали!$B$1,"да","не"))</x:f>
      </x:c>
      <x:c r="L109" s="16"/>
      <x:c r="M109" s="16"/>
      <x:c r="N109" s="16"/>
      <x:c r="O109" s="16"/>
      <x:c r="P109" s="16"/>
      <x:c r="Q109" s="16"/>
      <x:c r="R109" s="18" t="str">
        <x:f t="shared" si="5"/>
      </x:c>
      <x:c r="S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8" t="str">
        <x:f t="shared" si="3"/>
      </x:c>
      <x:c r="J110" s="19" t="str">
        <x:f t="shared" si="4"/>
      </x:c>
      <x:c r="K110" s="19" t="str">
        <x:f>IF(I110="","",IF(I110&lt;=Скали!$B$1,"да","не"))</x:f>
      </x:c>
      <x:c r="L110" s="16"/>
      <x:c r="M110" s="16"/>
      <x:c r="N110" s="16"/>
      <x:c r="O110" s="16"/>
      <x:c r="P110" s="16"/>
      <x:c r="Q110" s="16"/>
      <x:c r="R110" s="18" t="str">
        <x:f t="shared" si="5"/>
      </x:c>
      <x:c r="S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8" t="str">
        <x:f t="shared" si="3"/>
      </x:c>
      <x:c r="J111" s="19" t="str">
        <x:f t="shared" si="4"/>
      </x:c>
      <x:c r="K111" s="19" t="str">
        <x:f>IF(I111="","",IF(I111&lt;=Скали!$B$1,"да","не"))</x:f>
      </x:c>
      <x:c r="L111" s="16"/>
      <x:c r="M111" s="16"/>
      <x:c r="N111" s="16"/>
      <x:c r="O111" s="16"/>
      <x:c r="P111" s="16"/>
      <x:c r="Q111" s="16"/>
      <x:c r="R111" s="18" t="str">
        <x:f t="shared" si="5"/>
      </x:c>
      <x:c r="S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8" t="str">
        <x:f t="shared" si="3"/>
      </x:c>
      <x:c r="J112" s="19" t="str">
        <x:f t="shared" si="4"/>
      </x:c>
      <x:c r="K112" s="19" t="str">
        <x:f>IF(I112="","",IF(I112&lt;=Скали!$B$1,"да","не"))</x:f>
      </x:c>
      <x:c r="L112" s="16"/>
      <x:c r="M112" s="16"/>
      <x:c r="N112" s="16"/>
      <x:c r="O112" s="16"/>
      <x:c r="P112" s="16"/>
      <x:c r="Q112" s="16"/>
      <x:c r="R112" s="18" t="str">
        <x:f t="shared" si="5"/>
      </x:c>
      <x:c r="S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8" t="str">
        <x:f t="shared" si="3"/>
      </x:c>
      <x:c r="J113" s="19" t="str">
        <x:f t="shared" si="4"/>
      </x:c>
      <x:c r="K113" s="19" t="str">
        <x:f>IF(I113="","",IF(I113&lt;=Скали!$B$1,"да","не"))</x:f>
      </x:c>
      <x:c r="L113" s="16"/>
      <x:c r="M113" s="16"/>
      <x:c r="N113" s="16"/>
      <x:c r="O113" s="16"/>
      <x:c r="P113" s="16"/>
      <x:c r="Q113" s="16"/>
      <x:c r="R113" s="18" t="str">
        <x:f t="shared" si="5"/>
      </x:c>
      <x:c r="S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8" t="str">
        <x:f t="shared" si="3"/>
      </x:c>
      <x:c r="J114" s="19" t="str">
        <x:f t="shared" si="4"/>
      </x:c>
      <x:c r="K114" s="19" t="str">
        <x:f>IF(I114="","",IF(I114&lt;=Скали!$B$1,"да","не"))</x:f>
      </x:c>
      <x:c r="L114" s="16"/>
      <x:c r="M114" s="16"/>
      <x:c r="N114" s="16"/>
      <x:c r="O114" s="16"/>
      <x:c r="P114" s="16"/>
      <x:c r="Q114" s="16"/>
      <x:c r="R114" s="18" t="str">
        <x:f t="shared" si="5"/>
      </x:c>
      <x:c r="S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8" t="str">
        <x:f t="shared" si="3"/>
      </x:c>
      <x:c r="J115" s="19" t="str">
        <x:f t="shared" si="4"/>
      </x:c>
      <x:c r="K115" s="19" t="str">
        <x:f>IF(I115="","",IF(I115&lt;=Скали!$B$1,"да","не"))</x:f>
      </x:c>
      <x:c r="L115" s="16"/>
      <x:c r="M115" s="16"/>
      <x:c r="N115" s="16"/>
      <x:c r="O115" s="16"/>
      <x:c r="P115" s="16"/>
      <x:c r="Q115" s="16"/>
      <x:c r="R115" s="18" t="str">
        <x:f t="shared" si="5"/>
      </x:c>
      <x:c r="S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8" t="str">
        <x:f t="shared" si="3"/>
      </x:c>
      <x:c r="J116" s="19" t="str">
        <x:f t="shared" si="4"/>
      </x:c>
      <x:c r="K116" s="19" t="str">
        <x:f>IF(I116="","",IF(I116&lt;=Скали!$B$1,"да","не"))</x:f>
      </x:c>
      <x:c r="L116" s="16"/>
      <x:c r="M116" s="16"/>
      <x:c r="N116" s="16"/>
      <x:c r="O116" s="16"/>
      <x:c r="P116" s="16"/>
      <x:c r="Q116" s="16"/>
      <x:c r="R116" s="18" t="str">
        <x:f t="shared" si="5"/>
      </x:c>
      <x:c r="S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8" t="str">
        <x:f t="shared" si="3"/>
      </x:c>
      <x:c r="J117" s="19" t="str">
        <x:f t="shared" si="4"/>
      </x:c>
      <x:c r="K117" s="19" t="str">
        <x:f>IF(I117="","",IF(I117&lt;=Скали!$B$1,"да","не"))</x:f>
      </x:c>
      <x:c r="L117" s="16"/>
      <x:c r="M117" s="16"/>
      <x:c r="N117" s="16"/>
      <x:c r="O117" s="16"/>
      <x:c r="P117" s="16"/>
      <x:c r="Q117" s="16"/>
      <x:c r="R117" s="18" t="str">
        <x:f t="shared" si="5"/>
      </x:c>
      <x:c r="S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8" t="str">
        <x:f t="shared" si="3"/>
      </x:c>
      <x:c r="J118" s="19" t="str">
        <x:f t="shared" si="4"/>
      </x:c>
      <x:c r="K118" s="19" t="str">
        <x:f>IF(I118="","",IF(I118&lt;=Скали!$B$1,"да","не"))</x:f>
      </x:c>
      <x:c r="L118" s="16"/>
      <x:c r="M118" s="16"/>
      <x:c r="N118" s="16"/>
      <x:c r="O118" s="16"/>
      <x:c r="P118" s="16"/>
      <x:c r="Q118" s="16"/>
      <x:c r="R118" s="18" t="str">
        <x:f t="shared" si="5"/>
      </x:c>
      <x:c r="S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8" t="str">
        <x:f t="shared" si="3"/>
      </x:c>
      <x:c r="J119" s="19" t="str">
        <x:f t="shared" si="4"/>
      </x:c>
      <x:c r="K119" s="19" t="str">
        <x:f>IF(I119="","",IF(I119&lt;=Скали!$B$1,"да","не"))</x:f>
      </x:c>
      <x:c r="L119" s="16"/>
      <x:c r="M119" s="16"/>
      <x:c r="N119" s="16"/>
      <x:c r="O119" s="16"/>
      <x:c r="P119" s="16"/>
      <x:c r="Q119" s="16"/>
      <x:c r="R119" s="18" t="str">
        <x:f t="shared" si="5"/>
      </x:c>
      <x:c r="S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8" t="str">
        <x:f t="shared" si="3"/>
      </x:c>
      <x:c r="J120" s="19" t="str">
        <x:f t="shared" si="4"/>
      </x:c>
      <x:c r="K120" s="19" t="str">
        <x:f>IF(I120="","",IF(I120&lt;=Скали!$B$1,"да","не"))</x:f>
      </x:c>
      <x:c r="L120" s="16"/>
      <x:c r="M120" s="16"/>
      <x:c r="N120" s="16"/>
      <x:c r="O120" s="16"/>
      <x:c r="P120" s="16"/>
      <x:c r="Q120" s="16"/>
      <x:c r="R120" s="18" t="str">
        <x:f t="shared" si="5"/>
      </x:c>
      <x:c r="S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8" t="str">
        <x:f t="shared" si="3"/>
      </x:c>
      <x:c r="J121" s="19" t="str">
        <x:f t="shared" si="4"/>
      </x:c>
      <x:c r="K121" s="19" t="str">
        <x:f>IF(I121="","",IF(I121&lt;=Скали!$B$1,"да","не"))</x:f>
      </x:c>
      <x:c r="L121" s="16"/>
      <x:c r="M121" s="16"/>
      <x:c r="N121" s="16"/>
      <x:c r="O121" s="16"/>
      <x:c r="P121" s="16"/>
      <x:c r="Q121" s="16"/>
      <x:c r="R121" s="18" t="str">
        <x:f t="shared" si="5"/>
      </x:c>
      <x:c r="S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8" t="str">
        <x:f t="shared" si="3"/>
      </x:c>
      <x:c r="J122" s="19" t="str">
        <x:f t="shared" si="4"/>
      </x:c>
      <x:c r="K122" s="19" t="str">
        <x:f>IF(I122="","",IF(I122&lt;=Скали!$B$1,"да","не"))</x:f>
      </x:c>
      <x:c r="L122" s="16"/>
      <x:c r="M122" s="16"/>
      <x:c r="N122" s="16"/>
      <x:c r="O122" s="16"/>
      <x:c r="P122" s="16"/>
      <x:c r="Q122" s="16"/>
      <x:c r="R122" s="18" t="str">
        <x:f t="shared" si="5"/>
      </x:c>
      <x:c r="S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8" t="str">
        <x:f t="shared" si="3"/>
      </x:c>
      <x:c r="J123" s="19" t="str">
        <x:f t="shared" si="4"/>
      </x:c>
      <x:c r="K123" s="19" t="str">
        <x:f>IF(I123="","",IF(I123&lt;=Скали!$B$1,"да","не"))</x:f>
      </x:c>
      <x:c r="L123" s="16"/>
      <x:c r="M123" s="16"/>
      <x:c r="N123" s="16"/>
      <x:c r="O123" s="16"/>
      <x:c r="P123" s="16"/>
      <x:c r="Q123" s="16"/>
      <x:c r="R123" s="18" t="str">
        <x:f t="shared" si="5"/>
      </x:c>
      <x:c r="S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8" t="str">
        <x:f t="shared" si="3"/>
      </x:c>
      <x:c r="J124" s="19" t="str">
        <x:f t="shared" si="4"/>
      </x:c>
      <x:c r="K124" s="19" t="str">
        <x:f>IF(I124="","",IF(I124&lt;=Скали!$B$1,"да","не"))</x:f>
      </x:c>
      <x:c r="L124" s="16"/>
      <x:c r="M124" s="16"/>
      <x:c r="N124" s="16"/>
      <x:c r="O124" s="16"/>
      <x:c r="P124" s="16"/>
      <x:c r="Q124" s="16"/>
      <x:c r="R124" s="18" t="str">
        <x:f t="shared" si="5"/>
      </x:c>
      <x:c r="S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8" t="str">
        <x:f t="shared" si="3"/>
      </x:c>
      <x:c r="J125" s="19" t="str">
        <x:f t="shared" si="4"/>
      </x:c>
      <x:c r="K125" s="19" t="str">
        <x:f>IF(I125="","",IF(I125&lt;=Скали!$B$1,"да","не"))</x:f>
      </x:c>
      <x:c r="L125" s="16"/>
      <x:c r="M125" s="16"/>
      <x:c r="N125" s="16"/>
      <x:c r="O125" s="16"/>
      <x:c r="P125" s="16"/>
      <x:c r="Q125" s="16"/>
      <x:c r="R125" s="18" t="str">
        <x:f t="shared" si="5"/>
      </x:c>
      <x:c r="S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8" t="str">
        <x:f t="shared" si="3"/>
      </x:c>
      <x:c r="J126" s="19" t="str">
        <x:f t="shared" si="4"/>
      </x:c>
      <x:c r="K126" s="19" t="str">
        <x:f>IF(I126="","",IF(I126&lt;=Скали!$B$1,"да","не"))</x:f>
      </x:c>
      <x:c r="L126" s="16"/>
      <x:c r="M126" s="16"/>
      <x:c r="N126" s="16"/>
      <x:c r="O126" s="16"/>
      <x:c r="P126" s="16"/>
      <x:c r="Q126" s="16"/>
      <x:c r="R126" s="18" t="str">
        <x:f t="shared" si="5"/>
      </x:c>
      <x:c r="S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8" t="str">
        <x:f t="shared" si="3"/>
      </x:c>
      <x:c r="J127" s="19" t="str">
        <x:f t="shared" si="4"/>
      </x:c>
      <x:c r="K127" s="19" t="str">
        <x:f>IF(I127="","",IF(I127&lt;=Скали!$B$1,"да","не"))</x:f>
      </x:c>
      <x:c r="L127" s="16"/>
      <x:c r="M127" s="16"/>
      <x:c r="N127" s="16"/>
      <x:c r="O127" s="16"/>
      <x:c r="P127" s="16"/>
      <x:c r="Q127" s="16"/>
      <x:c r="R127" s="18" t="str">
        <x:f t="shared" si="5"/>
      </x:c>
      <x:c r="S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8" t="str">
        <x:f t="shared" si="3"/>
      </x:c>
      <x:c r="J128" s="19" t="str">
        <x:f t="shared" si="4"/>
      </x:c>
      <x:c r="K128" s="19" t="str">
        <x:f>IF(I128="","",IF(I128&lt;=Скали!$B$1,"да","не"))</x:f>
      </x:c>
      <x:c r="L128" s="16"/>
      <x:c r="M128" s="16"/>
      <x:c r="N128" s="16"/>
      <x:c r="O128" s="16"/>
      <x:c r="P128" s="16"/>
      <x:c r="Q128" s="16"/>
      <x:c r="R128" s="18" t="str">
        <x:f t="shared" si="5"/>
      </x:c>
      <x:c r="S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8" t="str">
        <x:f t="shared" si="3"/>
      </x:c>
      <x:c r="J129" s="19" t="str">
        <x:f t="shared" si="4"/>
      </x:c>
      <x:c r="K129" s="19" t="str">
        <x:f>IF(I129="","",IF(I129&lt;=Скали!$B$1,"да","не"))</x:f>
      </x:c>
      <x:c r="L129" s="16"/>
      <x:c r="M129" s="16"/>
      <x:c r="N129" s="16"/>
      <x:c r="O129" s="16"/>
      <x:c r="P129" s="16"/>
      <x:c r="Q129" s="16"/>
      <x:c r="R129" s="18" t="str">
        <x:f t="shared" si="5"/>
      </x:c>
      <x:c r="S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8" t="str">
        <x:f t="shared" ref="I130:I193" si="6">IF(OR(G130="",H130=""),"",G130*H130)</x:f>
      </x:c>
      <x:c r="J130" s="19" t="str">
        <x:f t="shared" ref="J130:J193" si="7">IF(I130="","",IF(I130&lt;=4,"нисък",IF(I130&lt;=9,"умерен",IF(I130&lt;=15,"висок","критичен"))))</x:f>
      </x:c>
      <x:c r="K130" s="19" t="str">
        <x:f>IF(I130="","",IF(I130&lt;=Скали!$B$1,"да","не"))</x:f>
      </x:c>
      <x:c r="L130" s="16"/>
      <x:c r="M130" s="16"/>
      <x:c r="N130" s="16"/>
      <x:c r="O130" s="16"/>
      <x:c r="P130" s="16"/>
      <x:c r="Q130" s="16"/>
      <x:c r="R130" s="18" t="str">
        <x:f t="shared" ref="R130:R193" si="8">IF(OR(P130="",Q130=""),"",P130*Q130)</x:f>
      </x:c>
      <x:c r="S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8" t="str">
        <x:f t="shared" si="6"/>
      </x:c>
      <x:c r="J131" s="19" t="str">
        <x:f t="shared" si="7"/>
      </x:c>
      <x:c r="K131" s="19" t="str">
        <x:f>IF(I131="","",IF(I131&lt;=Скали!$B$1,"да","не"))</x:f>
      </x:c>
      <x:c r="L131" s="16"/>
      <x:c r="M131" s="16"/>
      <x:c r="N131" s="16"/>
      <x:c r="O131" s="16"/>
      <x:c r="P131" s="16"/>
      <x:c r="Q131" s="16"/>
      <x:c r="R131" s="18" t="str">
        <x:f t="shared" si="8"/>
      </x:c>
      <x:c r="S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8" t="str">
        <x:f t="shared" si="6"/>
      </x:c>
      <x:c r="J132" s="19" t="str">
        <x:f t="shared" si="7"/>
      </x:c>
      <x:c r="K132" s="19" t="str">
        <x:f>IF(I132="","",IF(I132&lt;=Скали!$B$1,"да","не"))</x:f>
      </x:c>
      <x:c r="L132" s="16"/>
      <x:c r="M132" s="16"/>
      <x:c r="N132" s="16"/>
      <x:c r="O132" s="16"/>
      <x:c r="P132" s="16"/>
      <x:c r="Q132" s="16"/>
      <x:c r="R132" s="18" t="str">
        <x:f t="shared" si="8"/>
      </x:c>
      <x:c r="S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8" t="str">
        <x:f t="shared" si="6"/>
      </x:c>
      <x:c r="J133" s="19" t="str">
        <x:f t="shared" si="7"/>
      </x:c>
      <x:c r="K133" s="19" t="str">
        <x:f>IF(I133="","",IF(I133&lt;=Скали!$B$1,"да","не"))</x:f>
      </x:c>
      <x:c r="L133" s="16"/>
      <x:c r="M133" s="16"/>
      <x:c r="N133" s="16"/>
      <x:c r="O133" s="16"/>
      <x:c r="P133" s="16"/>
      <x:c r="Q133" s="16"/>
      <x:c r="R133" s="18" t="str">
        <x:f t="shared" si="8"/>
      </x:c>
      <x:c r="S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8" t="str">
        <x:f t="shared" si="6"/>
      </x:c>
      <x:c r="J134" s="19" t="str">
        <x:f t="shared" si="7"/>
      </x:c>
      <x:c r="K134" s="19" t="str">
        <x:f>IF(I134="","",IF(I134&lt;=Скали!$B$1,"да","не"))</x:f>
      </x:c>
      <x:c r="L134" s="16"/>
      <x:c r="M134" s="16"/>
      <x:c r="N134" s="16"/>
      <x:c r="O134" s="16"/>
      <x:c r="P134" s="16"/>
      <x:c r="Q134" s="16"/>
      <x:c r="R134" s="18" t="str">
        <x:f t="shared" si="8"/>
      </x:c>
      <x:c r="S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8" t="str">
        <x:f t="shared" si="6"/>
      </x:c>
      <x:c r="J135" s="19" t="str">
        <x:f t="shared" si="7"/>
      </x:c>
      <x:c r="K135" s="19" t="str">
        <x:f>IF(I135="","",IF(I135&lt;=Скали!$B$1,"да","не"))</x:f>
      </x:c>
      <x:c r="L135" s="16"/>
      <x:c r="M135" s="16"/>
      <x:c r="N135" s="16"/>
      <x:c r="O135" s="16"/>
      <x:c r="P135" s="16"/>
      <x:c r="Q135" s="16"/>
      <x:c r="R135" s="18" t="str">
        <x:f t="shared" si="8"/>
      </x:c>
      <x:c r="S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8" t="str">
        <x:f t="shared" si="6"/>
      </x:c>
      <x:c r="J136" s="19" t="str">
        <x:f t="shared" si="7"/>
      </x:c>
      <x:c r="K136" s="19" t="str">
        <x:f>IF(I136="","",IF(I136&lt;=Скали!$B$1,"да","не"))</x:f>
      </x:c>
      <x:c r="L136" s="16"/>
      <x:c r="M136" s="16"/>
      <x:c r="N136" s="16"/>
      <x:c r="O136" s="16"/>
      <x:c r="P136" s="16"/>
      <x:c r="Q136" s="16"/>
      <x:c r="R136" s="18" t="str">
        <x:f t="shared" si="8"/>
      </x:c>
      <x:c r="S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8" t="str">
        <x:f t="shared" si="6"/>
      </x:c>
      <x:c r="J137" s="19" t="str">
        <x:f t="shared" si="7"/>
      </x:c>
      <x:c r="K137" s="19" t="str">
        <x:f>IF(I137="","",IF(I137&lt;=Скали!$B$1,"да","не"))</x:f>
      </x:c>
      <x:c r="L137" s="16"/>
      <x:c r="M137" s="16"/>
      <x:c r="N137" s="16"/>
      <x:c r="O137" s="16"/>
      <x:c r="P137" s="16"/>
      <x:c r="Q137" s="16"/>
      <x:c r="R137" s="18" t="str">
        <x:f t="shared" si="8"/>
      </x:c>
      <x:c r="S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8" t="str">
        <x:f t="shared" si="6"/>
      </x:c>
      <x:c r="J138" s="19" t="str">
        <x:f t="shared" si="7"/>
      </x:c>
      <x:c r="K138" s="19" t="str">
        <x:f>IF(I138="","",IF(I138&lt;=Скали!$B$1,"да","не"))</x:f>
      </x:c>
      <x:c r="L138" s="16"/>
      <x:c r="M138" s="16"/>
      <x:c r="N138" s="16"/>
      <x:c r="O138" s="16"/>
      <x:c r="P138" s="16"/>
      <x:c r="Q138" s="16"/>
      <x:c r="R138" s="18" t="str">
        <x:f t="shared" si="8"/>
      </x:c>
      <x:c r="S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8" t="str">
        <x:f t="shared" si="6"/>
      </x:c>
      <x:c r="J139" s="19" t="str">
        <x:f t="shared" si="7"/>
      </x:c>
      <x:c r="K139" s="19" t="str">
        <x:f>IF(I139="","",IF(I139&lt;=Скали!$B$1,"да","не"))</x:f>
      </x:c>
      <x:c r="L139" s="16"/>
      <x:c r="M139" s="16"/>
      <x:c r="N139" s="16"/>
      <x:c r="O139" s="16"/>
      <x:c r="P139" s="16"/>
      <x:c r="Q139" s="16"/>
      <x:c r="R139" s="18" t="str">
        <x:f t="shared" si="8"/>
      </x:c>
      <x:c r="S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8" t="str">
        <x:f t="shared" si="6"/>
      </x:c>
      <x:c r="J140" s="19" t="str">
        <x:f t="shared" si="7"/>
      </x:c>
      <x:c r="K140" s="19" t="str">
        <x:f>IF(I140="","",IF(I140&lt;=Скали!$B$1,"да","не"))</x:f>
      </x:c>
      <x:c r="L140" s="16"/>
      <x:c r="M140" s="16"/>
      <x:c r="N140" s="16"/>
      <x:c r="O140" s="16"/>
      <x:c r="P140" s="16"/>
      <x:c r="Q140" s="16"/>
      <x:c r="R140" s="18" t="str">
        <x:f t="shared" si="8"/>
      </x:c>
      <x:c r="S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8" t="str">
        <x:f t="shared" si="6"/>
      </x:c>
      <x:c r="J141" s="19" t="str">
        <x:f t="shared" si="7"/>
      </x:c>
      <x:c r="K141" s="19" t="str">
        <x:f>IF(I141="","",IF(I141&lt;=Скали!$B$1,"да","не"))</x:f>
      </x:c>
      <x:c r="L141" s="16"/>
      <x:c r="M141" s="16"/>
      <x:c r="N141" s="16"/>
      <x:c r="O141" s="16"/>
      <x:c r="P141" s="16"/>
      <x:c r="Q141" s="16"/>
      <x:c r="R141" s="18" t="str">
        <x:f t="shared" si="8"/>
      </x:c>
      <x:c r="S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8" t="str">
        <x:f t="shared" si="6"/>
      </x:c>
      <x:c r="J142" s="19" t="str">
        <x:f t="shared" si="7"/>
      </x:c>
      <x:c r="K142" s="19" t="str">
        <x:f>IF(I142="","",IF(I142&lt;=Скали!$B$1,"да","не"))</x:f>
      </x:c>
      <x:c r="L142" s="16"/>
      <x:c r="M142" s="16"/>
      <x:c r="N142" s="16"/>
      <x:c r="O142" s="16"/>
      <x:c r="P142" s="16"/>
      <x:c r="Q142" s="16"/>
      <x:c r="R142" s="18" t="str">
        <x:f t="shared" si="8"/>
      </x:c>
      <x:c r="S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8" t="str">
        <x:f t="shared" si="6"/>
      </x:c>
      <x:c r="J143" s="19" t="str">
        <x:f t="shared" si="7"/>
      </x:c>
      <x:c r="K143" s="19" t="str">
        <x:f>IF(I143="","",IF(I143&lt;=Скали!$B$1,"да","не"))</x:f>
      </x:c>
      <x:c r="L143" s="16"/>
      <x:c r="M143" s="16"/>
      <x:c r="N143" s="16"/>
      <x:c r="O143" s="16"/>
      <x:c r="P143" s="16"/>
      <x:c r="Q143" s="16"/>
      <x:c r="R143" s="18" t="str">
        <x:f t="shared" si="8"/>
      </x:c>
      <x:c r="S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8" t="str">
        <x:f t="shared" si="6"/>
      </x:c>
      <x:c r="J144" s="19" t="str">
        <x:f t="shared" si="7"/>
      </x:c>
      <x:c r="K144" s="19" t="str">
        <x:f>IF(I144="","",IF(I144&lt;=Скали!$B$1,"да","не"))</x:f>
      </x:c>
      <x:c r="L144" s="16"/>
      <x:c r="M144" s="16"/>
      <x:c r="N144" s="16"/>
      <x:c r="O144" s="16"/>
      <x:c r="P144" s="16"/>
      <x:c r="Q144" s="16"/>
      <x:c r="R144" s="18" t="str">
        <x:f t="shared" si="8"/>
      </x:c>
      <x:c r="S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8" t="str">
        <x:f t="shared" si="6"/>
      </x:c>
      <x:c r="J145" s="19" t="str">
        <x:f t="shared" si="7"/>
      </x:c>
      <x:c r="K145" s="19" t="str">
        <x:f>IF(I145="","",IF(I145&lt;=Скали!$B$1,"да","не"))</x:f>
      </x:c>
      <x:c r="L145" s="16"/>
      <x:c r="M145" s="16"/>
      <x:c r="N145" s="16"/>
      <x:c r="O145" s="16"/>
      <x:c r="P145" s="16"/>
      <x:c r="Q145" s="16"/>
      <x:c r="R145" s="18" t="str">
        <x:f t="shared" si="8"/>
      </x:c>
      <x:c r="S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8" t="str">
        <x:f t="shared" si="6"/>
      </x:c>
      <x:c r="J146" s="19" t="str">
        <x:f t="shared" si="7"/>
      </x:c>
      <x:c r="K146" s="19" t="str">
        <x:f>IF(I146="","",IF(I146&lt;=Скали!$B$1,"да","не"))</x:f>
      </x:c>
      <x:c r="L146" s="16"/>
      <x:c r="M146" s="16"/>
      <x:c r="N146" s="16"/>
      <x:c r="O146" s="16"/>
      <x:c r="P146" s="16"/>
      <x:c r="Q146" s="16"/>
      <x:c r="R146" s="18" t="str">
        <x:f t="shared" si="8"/>
      </x:c>
      <x:c r="S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8" t="str">
        <x:f t="shared" si="6"/>
      </x:c>
      <x:c r="J147" s="19" t="str">
        <x:f t="shared" si="7"/>
      </x:c>
      <x:c r="K147" s="19" t="str">
        <x:f>IF(I147="","",IF(I147&lt;=Скали!$B$1,"да","не"))</x:f>
      </x:c>
      <x:c r="L147" s="16"/>
      <x:c r="M147" s="16"/>
      <x:c r="N147" s="16"/>
      <x:c r="O147" s="16"/>
      <x:c r="P147" s="16"/>
      <x:c r="Q147" s="16"/>
      <x:c r="R147" s="18" t="str">
        <x:f t="shared" si="8"/>
      </x:c>
      <x:c r="S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8" t="str">
        <x:f t="shared" si="6"/>
      </x:c>
      <x:c r="J148" s="19" t="str">
        <x:f t="shared" si="7"/>
      </x:c>
      <x:c r="K148" s="19" t="str">
        <x:f>IF(I148="","",IF(I148&lt;=Скали!$B$1,"да","не"))</x:f>
      </x:c>
      <x:c r="L148" s="16"/>
      <x:c r="M148" s="16"/>
      <x:c r="N148" s="16"/>
      <x:c r="O148" s="16"/>
      <x:c r="P148" s="16"/>
      <x:c r="Q148" s="16"/>
      <x:c r="R148" s="18" t="str">
        <x:f t="shared" si="8"/>
      </x:c>
      <x:c r="S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8" t="str">
        <x:f t="shared" si="6"/>
      </x:c>
      <x:c r="J149" s="19" t="str">
        <x:f t="shared" si="7"/>
      </x:c>
      <x:c r="K149" s="19" t="str">
        <x:f>IF(I149="","",IF(I149&lt;=Скали!$B$1,"да","не"))</x:f>
      </x:c>
      <x:c r="L149" s="16"/>
      <x:c r="M149" s="16"/>
      <x:c r="N149" s="16"/>
      <x:c r="O149" s="16"/>
      <x:c r="P149" s="16"/>
      <x:c r="Q149" s="16"/>
      <x:c r="R149" s="18" t="str">
        <x:f t="shared" si="8"/>
      </x:c>
      <x:c r="S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8" t="str">
        <x:f t="shared" si="6"/>
      </x:c>
      <x:c r="J150" s="19" t="str">
        <x:f t="shared" si="7"/>
      </x:c>
      <x:c r="K150" s="19" t="str">
        <x:f>IF(I150="","",IF(I150&lt;=Скали!$B$1,"да","не"))</x:f>
      </x:c>
      <x:c r="L150" s="16"/>
      <x:c r="M150" s="16"/>
      <x:c r="N150" s="16"/>
      <x:c r="O150" s="16"/>
      <x:c r="P150" s="16"/>
      <x:c r="Q150" s="16"/>
      <x:c r="R150" s="18" t="str">
        <x:f t="shared" si="8"/>
      </x:c>
      <x:c r="S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8" t="str">
        <x:f t="shared" si="6"/>
      </x:c>
      <x:c r="J151" s="19" t="str">
        <x:f t="shared" si="7"/>
      </x:c>
      <x:c r="K151" s="19" t="str">
        <x:f>IF(I151="","",IF(I151&lt;=Скали!$B$1,"да","не"))</x:f>
      </x:c>
      <x:c r="L151" s="16"/>
      <x:c r="M151" s="16"/>
      <x:c r="N151" s="16"/>
      <x:c r="O151" s="16"/>
      <x:c r="P151" s="16"/>
      <x:c r="Q151" s="16"/>
      <x:c r="R151" s="18" t="str">
        <x:f t="shared" si="8"/>
      </x:c>
      <x:c r="S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8" t="str">
        <x:f t="shared" si="6"/>
      </x:c>
      <x:c r="J152" s="19" t="str">
        <x:f t="shared" si="7"/>
      </x:c>
      <x:c r="K152" s="19" t="str">
        <x:f>IF(I152="","",IF(I152&lt;=Скали!$B$1,"да","не"))</x:f>
      </x:c>
      <x:c r="L152" s="16"/>
      <x:c r="M152" s="16"/>
      <x:c r="N152" s="16"/>
      <x:c r="O152" s="16"/>
      <x:c r="P152" s="16"/>
      <x:c r="Q152" s="16"/>
      <x:c r="R152" s="18" t="str">
        <x:f t="shared" si="8"/>
      </x:c>
      <x:c r="S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8" t="str">
        <x:f t="shared" si="6"/>
      </x:c>
      <x:c r="J153" s="19" t="str">
        <x:f t="shared" si="7"/>
      </x:c>
      <x:c r="K153" s="19" t="str">
        <x:f>IF(I153="","",IF(I153&lt;=Скали!$B$1,"да","не"))</x:f>
      </x:c>
      <x:c r="L153" s="16"/>
      <x:c r="M153" s="16"/>
      <x:c r="N153" s="16"/>
      <x:c r="O153" s="16"/>
      <x:c r="P153" s="16"/>
      <x:c r="Q153" s="16"/>
      <x:c r="R153" s="18" t="str">
        <x:f t="shared" si="8"/>
      </x:c>
      <x:c r="S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8" t="str">
        <x:f t="shared" si="6"/>
      </x:c>
      <x:c r="J154" s="19" t="str">
        <x:f t="shared" si="7"/>
      </x:c>
      <x:c r="K154" s="19" t="str">
        <x:f>IF(I154="","",IF(I154&lt;=Скали!$B$1,"да","не"))</x:f>
      </x:c>
      <x:c r="L154" s="16"/>
      <x:c r="M154" s="16"/>
      <x:c r="N154" s="16"/>
      <x:c r="O154" s="16"/>
      <x:c r="P154" s="16"/>
      <x:c r="Q154" s="16"/>
      <x:c r="R154" s="18" t="str">
        <x:f t="shared" si="8"/>
      </x:c>
      <x:c r="S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8" t="str">
        <x:f t="shared" si="6"/>
      </x:c>
      <x:c r="J155" s="19" t="str">
        <x:f t="shared" si="7"/>
      </x:c>
      <x:c r="K155" s="19" t="str">
        <x:f>IF(I155="","",IF(I155&lt;=Скали!$B$1,"да","не"))</x:f>
      </x:c>
      <x:c r="L155" s="16"/>
      <x:c r="M155" s="16"/>
      <x:c r="N155" s="16"/>
      <x:c r="O155" s="16"/>
      <x:c r="P155" s="16"/>
      <x:c r="Q155" s="16"/>
      <x:c r="R155" s="18" t="str">
        <x:f t="shared" si="8"/>
      </x:c>
      <x:c r="S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8" t="str">
        <x:f t="shared" si="6"/>
      </x:c>
      <x:c r="J156" s="19" t="str">
        <x:f t="shared" si="7"/>
      </x:c>
      <x:c r="K156" s="19" t="str">
        <x:f>IF(I156="","",IF(I156&lt;=Скали!$B$1,"да","не"))</x:f>
      </x:c>
      <x:c r="L156" s="16"/>
      <x:c r="M156" s="16"/>
      <x:c r="N156" s="16"/>
      <x:c r="O156" s="16"/>
      <x:c r="P156" s="16"/>
      <x:c r="Q156" s="16"/>
      <x:c r="R156" s="18" t="str">
        <x:f t="shared" si="8"/>
      </x:c>
      <x:c r="S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8" t="str">
        <x:f t="shared" si="6"/>
      </x:c>
      <x:c r="J157" s="19" t="str">
        <x:f t="shared" si="7"/>
      </x:c>
      <x:c r="K157" s="19" t="str">
        <x:f>IF(I157="","",IF(I157&lt;=Скали!$B$1,"да","не"))</x:f>
      </x:c>
      <x:c r="L157" s="16"/>
      <x:c r="M157" s="16"/>
      <x:c r="N157" s="16"/>
      <x:c r="O157" s="16"/>
      <x:c r="P157" s="16"/>
      <x:c r="Q157" s="16"/>
      <x:c r="R157" s="18" t="str">
        <x:f t="shared" si="8"/>
      </x:c>
      <x:c r="S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8" t="str">
        <x:f t="shared" si="6"/>
      </x:c>
      <x:c r="J158" s="19" t="str">
        <x:f t="shared" si="7"/>
      </x:c>
      <x:c r="K158" s="19" t="str">
        <x:f>IF(I158="","",IF(I158&lt;=Скали!$B$1,"да","не"))</x:f>
      </x:c>
      <x:c r="L158" s="16"/>
      <x:c r="M158" s="16"/>
      <x:c r="N158" s="16"/>
      <x:c r="O158" s="16"/>
      <x:c r="P158" s="16"/>
      <x:c r="Q158" s="16"/>
      <x:c r="R158" s="18" t="str">
        <x:f t="shared" si="8"/>
      </x:c>
      <x:c r="S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8" t="str">
        <x:f t="shared" si="6"/>
      </x:c>
      <x:c r="J159" s="19" t="str">
        <x:f t="shared" si="7"/>
      </x:c>
      <x:c r="K159" s="19" t="str">
        <x:f>IF(I159="","",IF(I159&lt;=Скали!$B$1,"да","не"))</x:f>
      </x:c>
      <x:c r="L159" s="16"/>
      <x:c r="M159" s="16"/>
      <x:c r="N159" s="16"/>
      <x:c r="O159" s="16"/>
      <x:c r="P159" s="16"/>
      <x:c r="Q159" s="16"/>
      <x:c r="R159" s="18" t="str">
        <x:f t="shared" si="8"/>
      </x:c>
      <x:c r="S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8" t="str">
        <x:f t="shared" si="6"/>
      </x:c>
      <x:c r="J160" s="19" t="str">
        <x:f t="shared" si="7"/>
      </x:c>
      <x:c r="K160" s="19" t="str">
        <x:f>IF(I160="","",IF(I160&lt;=Скали!$B$1,"да","не"))</x:f>
      </x:c>
      <x:c r="L160" s="16"/>
      <x:c r="M160" s="16"/>
      <x:c r="N160" s="16"/>
      <x:c r="O160" s="16"/>
      <x:c r="P160" s="16"/>
      <x:c r="Q160" s="16"/>
      <x:c r="R160" s="18" t="str">
        <x:f t="shared" si="8"/>
      </x:c>
      <x:c r="S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8" t="str">
        <x:f t="shared" si="6"/>
      </x:c>
      <x:c r="J161" s="19" t="str">
        <x:f t="shared" si="7"/>
      </x:c>
      <x:c r="K161" s="19" t="str">
        <x:f>IF(I161="","",IF(I161&lt;=Скали!$B$1,"да","не"))</x:f>
      </x:c>
      <x:c r="L161" s="16"/>
      <x:c r="M161" s="16"/>
      <x:c r="N161" s="16"/>
      <x:c r="O161" s="16"/>
      <x:c r="P161" s="16"/>
      <x:c r="Q161" s="16"/>
      <x:c r="R161" s="18" t="str">
        <x:f t="shared" si="8"/>
      </x:c>
      <x:c r="S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8" t="str">
        <x:f t="shared" si="6"/>
      </x:c>
      <x:c r="J162" s="19" t="str">
        <x:f t="shared" si="7"/>
      </x:c>
      <x:c r="K162" s="19" t="str">
        <x:f>IF(I162="","",IF(I162&lt;=Скали!$B$1,"да","не"))</x:f>
      </x:c>
      <x:c r="L162" s="16"/>
      <x:c r="M162" s="16"/>
      <x:c r="N162" s="16"/>
      <x:c r="O162" s="16"/>
      <x:c r="P162" s="16"/>
      <x:c r="Q162" s="16"/>
      <x:c r="R162" s="18" t="str">
        <x:f t="shared" si="8"/>
      </x:c>
      <x:c r="S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8" t="str">
        <x:f t="shared" si="6"/>
      </x:c>
      <x:c r="J163" s="19" t="str">
        <x:f t="shared" si="7"/>
      </x:c>
      <x:c r="K163" s="19" t="str">
        <x:f>IF(I163="","",IF(I163&lt;=Скали!$B$1,"да","не"))</x:f>
      </x:c>
      <x:c r="L163" s="16"/>
      <x:c r="M163" s="16"/>
      <x:c r="N163" s="16"/>
      <x:c r="O163" s="16"/>
      <x:c r="P163" s="16"/>
      <x:c r="Q163" s="16"/>
      <x:c r="R163" s="18" t="str">
        <x:f t="shared" si="8"/>
      </x:c>
      <x:c r="S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8" t="str">
        <x:f t="shared" si="6"/>
      </x:c>
      <x:c r="J164" s="19" t="str">
        <x:f t="shared" si="7"/>
      </x:c>
      <x:c r="K164" s="19" t="str">
        <x:f>IF(I164="","",IF(I164&lt;=Скали!$B$1,"да","не"))</x:f>
      </x:c>
      <x:c r="L164" s="16"/>
      <x:c r="M164" s="16"/>
      <x:c r="N164" s="16"/>
      <x:c r="O164" s="16"/>
      <x:c r="P164" s="16"/>
      <x:c r="Q164" s="16"/>
      <x:c r="R164" s="18" t="str">
        <x:f t="shared" si="8"/>
      </x:c>
      <x:c r="S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8" t="str">
        <x:f t="shared" si="6"/>
      </x:c>
      <x:c r="J165" s="19" t="str">
        <x:f t="shared" si="7"/>
      </x:c>
      <x:c r="K165" s="19" t="str">
        <x:f>IF(I165="","",IF(I165&lt;=Скали!$B$1,"да","не"))</x:f>
      </x:c>
      <x:c r="L165" s="16"/>
      <x:c r="M165" s="16"/>
      <x:c r="N165" s="16"/>
      <x:c r="O165" s="16"/>
      <x:c r="P165" s="16"/>
      <x:c r="Q165" s="16"/>
      <x:c r="R165" s="18" t="str">
        <x:f t="shared" si="8"/>
      </x:c>
      <x:c r="S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8" t="str">
        <x:f t="shared" si="6"/>
      </x:c>
      <x:c r="J166" s="19" t="str">
        <x:f t="shared" si="7"/>
      </x:c>
      <x:c r="K166" s="19" t="str">
        <x:f>IF(I166="","",IF(I166&lt;=Скали!$B$1,"да","не"))</x:f>
      </x:c>
      <x:c r="L166" s="16"/>
      <x:c r="M166" s="16"/>
      <x:c r="N166" s="16"/>
      <x:c r="O166" s="16"/>
      <x:c r="P166" s="16"/>
      <x:c r="Q166" s="16"/>
      <x:c r="R166" s="18" t="str">
        <x:f t="shared" si="8"/>
      </x:c>
      <x:c r="S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8" t="str">
        <x:f t="shared" si="6"/>
      </x:c>
      <x:c r="J167" s="19" t="str">
        <x:f t="shared" si="7"/>
      </x:c>
      <x:c r="K167" s="19" t="str">
        <x:f>IF(I167="","",IF(I167&lt;=Скали!$B$1,"да","не"))</x:f>
      </x:c>
      <x:c r="L167" s="16"/>
      <x:c r="M167" s="16"/>
      <x:c r="N167" s="16"/>
      <x:c r="O167" s="16"/>
      <x:c r="P167" s="16"/>
      <x:c r="Q167" s="16"/>
      <x:c r="R167" s="18" t="str">
        <x:f t="shared" si="8"/>
      </x:c>
      <x:c r="S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8" t="str">
        <x:f t="shared" si="6"/>
      </x:c>
      <x:c r="J168" s="19" t="str">
        <x:f t="shared" si="7"/>
      </x:c>
      <x:c r="K168" s="19" t="str">
        <x:f>IF(I168="","",IF(I168&lt;=Скали!$B$1,"да","не"))</x:f>
      </x:c>
      <x:c r="L168" s="16"/>
      <x:c r="M168" s="16"/>
      <x:c r="N168" s="16"/>
      <x:c r="O168" s="16"/>
      <x:c r="P168" s="16"/>
      <x:c r="Q168" s="16"/>
      <x:c r="R168" s="18" t="str">
        <x:f t="shared" si="8"/>
      </x:c>
      <x:c r="S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8" t="str">
        <x:f t="shared" si="6"/>
      </x:c>
      <x:c r="J169" s="19" t="str">
        <x:f t="shared" si="7"/>
      </x:c>
      <x:c r="K169" s="19" t="str">
        <x:f>IF(I169="","",IF(I169&lt;=Скали!$B$1,"да","не"))</x:f>
      </x:c>
      <x:c r="L169" s="16"/>
      <x:c r="M169" s="16"/>
      <x:c r="N169" s="16"/>
      <x:c r="O169" s="16"/>
      <x:c r="P169" s="16"/>
      <x:c r="Q169" s="16"/>
      <x:c r="R169" s="18" t="str">
        <x:f t="shared" si="8"/>
      </x:c>
      <x:c r="S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8" t="str">
        <x:f t="shared" si="6"/>
      </x:c>
      <x:c r="J170" s="19" t="str">
        <x:f t="shared" si="7"/>
      </x:c>
      <x:c r="K170" s="19" t="str">
        <x:f>IF(I170="","",IF(I170&lt;=Скали!$B$1,"да","не"))</x:f>
      </x:c>
      <x:c r="L170" s="16"/>
      <x:c r="M170" s="16"/>
      <x:c r="N170" s="16"/>
      <x:c r="O170" s="16"/>
      <x:c r="P170" s="16"/>
      <x:c r="Q170" s="16"/>
      <x:c r="R170" s="18" t="str">
        <x:f t="shared" si="8"/>
      </x:c>
      <x:c r="S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8" t="str">
        <x:f t="shared" si="6"/>
      </x:c>
      <x:c r="J171" s="19" t="str">
        <x:f t="shared" si="7"/>
      </x:c>
      <x:c r="K171" s="19" t="str">
        <x:f>IF(I171="","",IF(I171&lt;=Скали!$B$1,"да","не"))</x:f>
      </x:c>
      <x:c r="L171" s="16"/>
      <x:c r="M171" s="16"/>
      <x:c r="N171" s="16"/>
      <x:c r="O171" s="16"/>
      <x:c r="P171" s="16"/>
      <x:c r="Q171" s="16"/>
      <x:c r="R171" s="18" t="str">
        <x:f t="shared" si="8"/>
      </x:c>
      <x:c r="S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8" t="str">
        <x:f t="shared" si="6"/>
      </x:c>
      <x:c r="J172" s="19" t="str">
        <x:f t="shared" si="7"/>
      </x:c>
      <x:c r="K172" s="19" t="str">
        <x:f>IF(I172="","",IF(I172&lt;=Скали!$B$1,"да","не"))</x:f>
      </x:c>
      <x:c r="L172" s="16"/>
      <x:c r="M172" s="16"/>
      <x:c r="N172" s="16"/>
      <x:c r="O172" s="16"/>
      <x:c r="P172" s="16"/>
      <x:c r="Q172" s="16"/>
      <x:c r="R172" s="18" t="str">
        <x:f t="shared" si="8"/>
      </x:c>
      <x:c r="S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8" t="str">
        <x:f t="shared" si="6"/>
      </x:c>
      <x:c r="J173" s="19" t="str">
        <x:f t="shared" si="7"/>
      </x:c>
      <x:c r="K173" s="19" t="str">
        <x:f>IF(I173="","",IF(I173&lt;=Скали!$B$1,"да","не"))</x:f>
      </x:c>
      <x:c r="L173" s="16"/>
      <x:c r="M173" s="16"/>
      <x:c r="N173" s="16"/>
      <x:c r="O173" s="16"/>
      <x:c r="P173" s="16"/>
      <x:c r="Q173" s="16"/>
      <x:c r="R173" s="18" t="str">
        <x:f t="shared" si="8"/>
      </x:c>
      <x:c r="S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8" t="str">
        <x:f t="shared" si="6"/>
      </x:c>
      <x:c r="J174" s="19" t="str">
        <x:f t="shared" si="7"/>
      </x:c>
      <x:c r="K174" s="19" t="str">
        <x:f>IF(I174="","",IF(I174&lt;=Скали!$B$1,"да","не"))</x:f>
      </x:c>
      <x:c r="L174" s="16"/>
      <x:c r="M174" s="16"/>
      <x:c r="N174" s="16"/>
      <x:c r="O174" s="16"/>
      <x:c r="P174" s="16"/>
      <x:c r="Q174" s="16"/>
      <x:c r="R174" s="18" t="str">
        <x:f t="shared" si="8"/>
      </x:c>
      <x:c r="S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8" t="str">
        <x:f t="shared" si="6"/>
      </x:c>
      <x:c r="J175" s="19" t="str">
        <x:f t="shared" si="7"/>
      </x:c>
      <x:c r="K175" s="19" t="str">
        <x:f>IF(I175="","",IF(I175&lt;=Скали!$B$1,"да","не"))</x:f>
      </x:c>
      <x:c r="L175" s="16"/>
      <x:c r="M175" s="16"/>
      <x:c r="N175" s="16"/>
      <x:c r="O175" s="16"/>
      <x:c r="P175" s="16"/>
      <x:c r="Q175" s="16"/>
      <x:c r="R175" s="18" t="str">
        <x:f t="shared" si="8"/>
      </x:c>
      <x:c r="S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8" t="str">
        <x:f t="shared" si="6"/>
      </x:c>
      <x:c r="J176" s="19" t="str">
        <x:f t="shared" si="7"/>
      </x:c>
      <x:c r="K176" s="19" t="str">
        <x:f>IF(I176="","",IF(I176&lt;=Скали!$B$1,"да","не"))</x:f>
      </x:c>
      <x:c r="L176" s="16"/>
      <x:c r="M176" s="16"/>
      <x:c r="N176" s="16"/>
      <x:c r="O176" s="16"/>
      <x:c r="P176" s="16"/>
      <x:c r="Q176" s="16"/>
      <x:c r="R176" s="18" t="str">
        <x:f t="shared" si="8"/>
      </x:c>
      <x:c r="S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8" t="str">
        <x:f t="shared" si="6"/>
      </x:c>
      <x:c r="J177" s="19" t="str">
        <x:f t="shared" si="7"/>
      </x:c>
      <x:c r="K177" s="19" t="str">
        <x:f>IF(I177="","",IF(I177&lt;=Скали!$B$1,"да","не"))</x:f>
      </x:c>
      <x:c r="L177" s="16"/>
      <x:c r="M177" s="16"/>
      <x:c r="N177" s="16"/>
      <x:c r="O177" s="16"/>
      <x:c r="P177" s="16"/>
      <x:c r="Q177" s="16"/>
      <x:c r="R177" s="18" t="str">
        <x:f t="shared" si="8"/>
      </x:c>
      <x:c r="S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8" t="str">
        <x:f t="shared" si="6"/>
      </x:c>
      <x:c r="J178" s="19" t="str">
        <x:f t="shared" si="7"/>
      </x:c>
      <x:c r="K178" s="19" t="str">
        <x:f>IF(I178="","",IF(I178&lt;=Скали!$B$1,"да","не"))</x:f>
      </x:c>
      <x:c r="L178" s="16"/>
      <x:c r="M178" s="16"/>
      <x:c r="N178" s="16"/>
      <x:c r="O178" s="16"/>
      <x:c r="P178" s="16"/>
      <x:c r="Q178" s="16"/>
      <x:c r="R178" s="18" t="str">
        <x:f t="shared" si="8"/>
      </x:c>
      <x:c r="S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8" t="str">
        <x:f t="shared" si="6"/>
      </x:c>
      <x:c r="J179" s="19" t="str">
        <x:f t="shared" si="7"/>
      </x:c>
      <x:c r="K179" s="19" t="str">
        <x:f>IF(I179="","",IF(I179&lt;=Скали!$B$1,"да","не"))</x:f>
      </x:c>
      <x:c r="L179" s="16"/>
      <x:c r="M179" s="16"/>
      <x:c r="N179" s="16"/>
      <x:c r="O179" s="16"/>
      <x:c r="P179" s="16"/>
      <x:c r="Q179" s="16"/>
      <x:c r="R179" s="18" t="str">
        <x:f t="shared" si="8"/>
      </x:c>
      <x:c r="S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8" t="str">
        <x:f t="shared" si="6"/>
      </x:c>
      <x:c r="J180" s="19" t="str">
        <x:f t="shared" si="7"/>
      </x:c>
      <x:c r="K180" s="19" t="str">
        <x:f>IF(I180="","",IF(I180&lt;=Скали!$B$1,"да","не"))</x:f>
      </x:c>
      <x:c r="L180" s="16"/>
      <x:c r="M180" s="16"/>
      <x:c r="N180" s="16"/>
      <x:c r="O180" s="16"/>
      <x:c r="P180" s="16"/>
      <x:c r="Q180" s="16"/>
      <x:c r="R180" s="18" t="str">
        <x:f t="shared" si="8"/>
      </x:c>
      <x:c r="S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8" t="str">
        <x:f t="shared" si="6"/>
      </x:c>
      <x:c r="J181" s="19" t="str">
        <x:f t="shared" si="7"/>
      </x:c>
      <x:c r="K181" s="19" t="str">
        <x:f>IF(I181="","",IF(I181&lt;=Скали!$B$1,"да","не"))</x:f>
      </x:c>
      <x:c r="L181" s="16"/>
      <x:c r="M181" s="16"/>
      <x:c r="N181" s="16"/>
      <x:c r="O181" s="16"/>
      <x:c r="P181" s="16"/>
      <x:c r="Q181" s="16"/>
      <x:c r="R181" s="18" t="str">
        <x:f t="shared" si="8"/>
      </x:c>
      <x:c r="S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8" t="str">
        <x:f t="shared" si="6"/>
      </x:c>
      <x:c r="J182" s="19" t="str">
        <x:f t="shared" si="7"/>
      </x:c>
      <x:c r="K182" s="19" t="str">
        <x:f>IF(I182="","",IF(I182&lt;=Скали!$B$1,"да","не"))</x:f>
      </x:c>
      <x:c r="L182" s="16"/>
      <x:c r="M182" s="16"/>
      <x:c r="N182" s="16"/>
      <x:c r="O182" s="16"/>
      <x:c r="P182" s="16"/>
      <x:c r="Q182" s="16"/>
      <x:c r="R182" s="18" t="str">
        <x:f t="shared" si="8"/>
      </x:c>
      <x:c r="S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8" t="str">
        <x:f t="shared" si="6"/>
      </x:c>
      <x:c r="J183" s="19" t="str">
        <x:f t="shared" si="7"/>
      </x:c>
      <x:c r="K183" s="19" t="str">
        <x:f>IF(I183="","",IF(I183&lt;=Скали!$B$1,"да","не"))</x:f>
      </x:c>
      <x:c r="L183" s="16"/>
      <x:c r="M183" s="16"/>
      <x:c r="N183" s="16"/>
      <x:c r="O183" s="16"/>
      <x:c r="P183" s="16"/>
      <x:c r="Q183" s="16"/>
      <x:c r="R183" s="18" t="str">
        <x:f t="shared" si="8"/>
      </x:c>
      <x:c r="S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8" t="str">
        <x:f t="shared" si="6"/>
      </x:c>
      <x:c r="J184" s="19" t="str">
        <x:f t="shared" si="7"/>
      </x:c>
      <x:c r="K184" s="19" t="str">
        <x:f>IF(I184="","",IF(I184&lt;=Скали!$B$1,"да","не"))</x:f>
      </x:c>
      <x:c r="L184" s="16"/>
      <x:c r="M184" s="16"/>
      <x:c r="N184" s="16"/>
      <x:c r="O184" s="16"/>
      <x:c r="P184" s="16"/>
      <x:c r="Q184" s="16"/>
      <x:c r="R184" s="18" t="str">
        <x:f t="shared" si="8"/>
      </x:c>
      <x:c r="S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8" t="str">
        <x:f t="shared" si="6"/>
      </x:c>
      <x:c r="J185" s="19" t="str">
        <x:f t="shared" si="7"/>
      </x:c>
      <x:c r="K185" s="19" t="str">
        <x:f>IF(I185="","",IF(I185&lt;=Скали!$B$1,"да","не"))</x:f>
      </x:c>
      <x:c r="L185" s="16"/>
      <x:c r="M185" s="16"/>
      <x:c r="N185" s="16"/>
      <x:c r="O185" s="16"/>
      <x:c r="P185" s="16"/>
      <x:c r="Q185" s="16"/>
      <x:c r="R185" s="18" t="str">
        <x:f t="shared" si="8"/>
      </x:c>
      <x:c r="S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8" t="str">
        <x:f t="shared" si="6"/>
      </x:c>
      <x:c r="J186" s="19" t="str">
        <x:f t="shared" si="7"/>
      </x:c>
      <x:c r="K186" s="19" t="str">
        <x:f>IF(I186="","",IF(I186&lt;=Скали!$B$1,"да","не"))</x:f>
      </x:c>
      <x:c r="L186" s="16"/>
      <x:c r="M186" s="16"/>
      <x:c r="N186" s="16"/>
      <x:c r="O186" s="16"/>
      <x:c r="P186" s="16"/>
      <x:c r="Q186" s="16"/>
      <x:c r="R186" s="18" t="str">
        <x:f t="shared" si="8"/>
      </x:c>
      <x:c r="S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8" t="str">
        <x:f t="shared" si="6"/>
      </x:c>
      <x:c r="J187" s="19" t="str">
        <x:f t="shared" si="7"/>
      </x:c>
      <x:c r="K187" s="19" t="str">
        <x:f>IF(I187="","",IF(I187&lt;=Скали!$B$1,"да","не"))</x:f>
      </x:c>
      <x:c r="L187" s="16"/>
      <x:c r="M187" s="16"/>
      <x:c r="N187" s="16"/>
      <x:c r="O187" s="16"/>
      <x:c r="P187" s="16"/>
      <x:c r="Q187" s="16"/>
      <x:c r="R187" s="18" t="str">
        <x:f t="shared" si="8"/>
      </x:c>
      <x:c r="S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8" t="str">
        <x:f t="shared" si="6"/>
      </x:c>
      <x:c r="J188" s="19" t="str">
        <x:f t="shared" si="7"/>
      </x:c>
      <x:c r="K188" s="19" t="str">
        <x:f>IF(I188="","",IF(I188&lt;=Скали!$B$1,"да","не"))</x:f>
      </x:c>
      <x:c r="L188" s="16"/>
      <x:c r="M188" s="16"/>
      <x:c r="N188" s="16"/>
      <x:c r="O188" s="16"/>
      <x:c r="P188" s="16"/>
      <x:c r="Q188" s="16"/>
      <x:c r="R188" s="18" t="str">
        <x:f t="shared" si="8"/>
      </x:c>
      <x:c r="S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8" t="str">
        <x:f t="shared" si="6"/>
      </x:c>
      <x:c r="J189" s="19" t="str">
        <x:f t="shared" si="7"/>
      </x:c>
      <x:c r="K189" s="19" t="str">
        <x:f>IF(I189="","",IF(I189&lt;=Скали!$B$1,"да","не"))</x:f>
      </x:c>
      <x:c r="L189" s="16"/>
      <x:c r="M189" s="16"/>
      <x:c r="N189" s="16"/>
      <x:c r="O189" s="16"/>
      <x:c r="P189" s="16"/>
      <x:c r="Q189" s="16"/>
      <x:c r="R189" s="18" t="str">
        <x:f t="shared" si="8"/>
      </x:c>
      <x:c r="S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8" t="str">
        <x:f t="shared" si="6"/>
      </x:c>
      <x:c r="J190" s="19" t="str">
        <x:f t="shared" si="7"/>
      </x:c>
      <x:c r="K190" s="19" t="str">
        <x:f>IF(I190="","",IF(I190&lt;=Скали!$B$1,"да","не"))</x:f>
      </x:c>
      <x:c r="L190" s="16"/>
      <x:c r="M190" s="16"/>
      <x:c r="N190" s="16"/>
      <x:c r="O190" s="16"/>
      <x:c r="P190" s="16"/>
      <x:c r="Q190" s="16"/>
      <x:c r="R190" s="18" t="str">
        <x:f t="shared" si="8"/>
      </x:c>
      <x:c r="S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8" t="str">
        <x:f t="shared" si="6"/>
      </x:c>
      <x:c r="J191" s="19" t="str">
        <x:f t="shared" si="7"/>
      </x:c>
      <x:c r="K191" s="19" t="str">
        <x:f>IF(I191="","",IF(I191&lt;=Скали!$B$1,"да","не"))</x:f>
      </x:c>
      <x:c r="L191" s="16"/>
      <x:c r="M191" s="16"/>
      <x:c r="N191" s="16"/>
      <x:c r="O191" s="16"/>
      <x:c r="P191" s="16"/>
      <x:c r="Q191" s="16"/>
      <x:c r="R191" s="18" t="str">
        <x:f t="shared" si="8"/>
      </x:c>
      <x:c r="S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8" t="str">
        <x:f t="shared" si="6"/>
      </x:c>
      <x:c r="J192" s="19" t="str">
        <x:f t="shared" si="7"/>
      </x:c>
      <x:c r="K192" s="19" t="str">
        <x:f>IF(I192="","",IF(I192&lt;=Скали!$B$1,"да","не"))</x:f>
      </x:c>
      <x:c r="L192" s="16"/>
      <x:c r="M192" s="16"/>
      <x:c r="N192" s="16"/>
      <x:c r="O192" s="16"/>
      <x:c r="P192" s="16"/>
      <x:c r="Q192" s="16"/>
      <x:c r="R192" s="18" t="str">
        <x:f t="shared" si="8"/>
      </x:c>
      <x:c r="S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8" t="str">
        <x:f t="shared" si="6"/>
      </x:c>
      <x:c r="J193" s="19" t="str">
        <x:f t="shared" si="7"/>
      </x:c>
      <x:c r="K193" s="19" t="str">
        <x:f>IF(I193="","",IF(I193&lt;=Скали!$B$1,"да","не"))</x:f>
      </x:c>
      <x:c r="L193" s="16"/>
      <x:c r="M193" s="16"/>
      <x:c r="N193" s="16"/>
      <x:c r="O193" s="16"/>
      <x:c r="P193" s="16"/>
      <x:c r="Q193" s="16"/>
      <x:c r="R193" s="18" t="str">
        <x:f t="shared" si="8"/>
      </x:c>
      <x:c r="S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8" t="str">
        <x:f t="shared" ref="I194:I210" si="9">IF(OR(G194="",H194=""),"",G194*H194)</x:f>
      </x:c>
      <x:c r="J194" s="19" t="str">
        <x:f t="shared" ref="J194:J210" si="10">IF(I194="","",IF(I194&lt;=4,"нисък",IF(I194&lt;=9,"умерен",IF(I194&lt;=15,"висок","критичен"))))</x:f>
      </x:c>
      <x:c r="K194" s="19" t="str">
        <x:f>IF(I194="","",IF(I194&lt;=Скали!$B$1,"да","не"))</x:f>
      </x:c>
      <x:c r="L194" s="16"/>
      <x:c r="M194" s="16"/>
      <x:c r="N194" s="16"/>
      <x:c r="O194" s="16"/>
      <x:c r="P194" s="16"/>
      <x:c r="Q194" s="16"/>
      <x:c r="R194" s="18" t="str">
        <x:f t="shared" ref="R194:R210" si="11">IF(OR(P194="",Q194=""),"",P194*Q194)</x:f>
      </x:c>
      <x:c r="S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8" t="str">
        <x:f t="shared" si="9"/>
      </x:c>
      <x:c r="J195" s="19" t="str">
        <x:f t="shared" si="10"/>
      </x:c>
      <x:c r="K195" s="19" t="str">
        <x:f>IF(I195="","",IF(I195&lt;=Скали!$B$1,"да","не"))</x:f>
      </x:c>
      <x:c r="L195" s="16"/>
      <x:c r="M195" s="16"/>
      <x:c r="N195" s="16"/>
      <x:c r="O195" s="16"/>
      <x:c r="P195" s="16"/>
      <x:c r="Q195" s="16"/>
      <x:c r="R195" s="18" t="str">
        <x:f t="shared" si="11"/>
      </x:c>
      <x:c r="S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8" t="str">
        <x:f t="shared" si="9"/>
      </x:c>
      <x:c r="J196" s="19" t="str">
        <x:f t="shared" si="10"/>
      </x:c>
      <x:c r="K196" s="19" t="str">
        <x:f>IF(I196="","",IF(I196&lt;=Скали!$B$1,"да","не"))</x:f>
      </x:c>
      <x:c r="L196" s="16"/>
      <x:c r="M196" s="16"/>
      <x:c r="N196" s="16"/>
      <x:c r="O196" s="16"/>
      <x:c r="P196" s="16"/>
      <x:c r="Q196" s="16"/>
      <x:c r="R196" s="18" t="str">
        <x:f t="shared" si="11"/>
      </x:c>
      <x:c r="S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8" t="str">
        <x:f t="shared" si="9"/>
      </x:c>
      <x:c r="J197" s="19" t="str">
        <x:f t="shared" si="10"/>
      </x:c>
      <x:c r="K197" s="19" t="str">
        <x:f>IF(I197="","",IF(I197&lt;=Скали!$B$1,"да","не"))</x:f>
      </x:c>
      <x:c r="L197" s="16"/>
      <x:c r="M197" s="16"/>
      <x:c r="N197" s="16"/>
      <x:c r="O197" s="16"/>
      <x:c r="P197" s="16"/>
      <x:c r="Q197" s="16"/>
      <x:c r="R197" s="18" t="str">
        <x:f t="shared" si="11"/>
      </x:c>
      <x:c r="S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8" t="str">
        <x:f t="shared" si="9"/>
      </x:c>
      <x:c r="J198" s="19" t="str">
        <x:f t="shared" si="10"/>
      </x:c>
      <x:c r="K198" s="19" t="str">
        <x:f>IF(I198="","",IF(I198&lt;=Скали!$B$1,"да","не"))</x:f>
      </x:c>
      <x:c r="L198" s="16"/>
      <x:c r="M198" s="16"/>
      <x:c r="N198" s="16"/>
      <x:c r="O198" s="16"/>
      <x:c r="P198" s="16"/>
      <x:c r="Q198" s="16"/>
      <x:c r="R198" s="18" t="str">
        <x:f t="shared" si="11"/>
      </x:c>
      <x:c r="S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8" t="str">
        <x:f t="shared" si="9"/>
      </x:c>
      <x:c r="J199" s="19" t="str">
        <x:f t="shared" si="10"/>
      </x:c>
      <x:c r="K199" s="19" t="str">
        <x:f>IF(I199="","",IF(I199&lt;=Скали!$B$1,"да","не"))</x:f>
      </x:c>
      <x:c r="L199" s="16"/>
      <x:c r="M199" s="16"/>
      <x:c r="N199" s="16"/>
      <x:c r="O199" s="16"/>
      <x:c r="P199" s="16"/>
      <x:c r="Q199" s="16"/>
      <x:c r="R199" s="18" t="str">
        <x:f t="shared" si="11"/>
      </x:c>
      <x:c r="S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8" t="str">
        <x:f t="shared" si="9"/>
      </x:c>
      <x:c r="J200" s="19" t="str">
        <x:f t="shared" si="10"/>
      </x:c>
      <x:c r="K200" s="19" t="str">
        <x:f>IF(I200="","",IF(I200&lt;=Скали!$B$1,"да","не"))</x:f>
      </x:c>
      <x:c r="L200" s="16"/>
      <x:c r="M200" s="16"/>
      <x:c r="N200" s="16"/>
      <x:c r="O200" s="16"/>
      <x:c r="P200" s="16"/>
      <x:c r="Q200" s="16"/>
      <x:c r="R200" s="18" t="str">
        <x:f t="shared" si="11"/>
      </x:c>
      <x:c r="S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8" t="str">
        <x:f t="shared" si="9"/>
      </x:c>
      <x:c r="J201" s="19" t="str">
        <x:f t="shared" si="10"/>
      </x:c>
      <x:c r="K201" s="19" t="str">
        <x:f>IF(I201="","",IF(I201&lt;=Скали!$B$1,"да","не"))</x:f>
      </x:c>
      <x:c r="L201" s="16"/>
      <x:c r="M201" s="16"/>
      <x:c r="N201" s="16"/>
      <x:c r="O201" s="16"/>
      <x:c r="P201" s="16"/>
      <x:c r="Q201" s="16"/>
      <x:c r="R201" s="18" t="str">
        <x:f t="shared" si="11"/>
      </x:c>
      <x:c r="S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8" t="str">
        <x:f t="shared" si="9"/>
      </x:c>
      <x:c r="J202" s="19" t="str">
        <x:f t="shared" si="10"/>
      </x:c>
      <x:c r="K202" s="19" t="str">
        <x:f>IF(I202="","",IF(I202&lt;=Скали!$B$1,"да","не"))</x:f>
      </x:c>
      <x:c r="L202" s="16"/>
      <x:c r="M202" s="16"/>
      <x:c r="N202" s="16"/>
      <x:c r="O202" s="16"/>
      <x:c r="P202" s="16"/>
      <x:c r="Q202" s="16"/>
      <x:c r="R202" s="18" t="str">
        <x:f t="shared" si="11"/>
      </x:c>
      <x:c r="S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8" t="str">
        <x:f t="shared" si="9"/>
      </x:c>
      <x:c r="J203" s="19" t="str">
        <x:f t="shared" si="10"/>
      </x:c>
      <x:c r="K203" s="19" t="str">
        <x:f>IF(I203="","",IF(I203&lt;=Скали!$B$1,"да","не"))</x:f>
      </x:c>
      <x:c r="L203" s="16"/>
      <x:c r="M203" s="16"/>
      <x:c r="N203" s="16"/>
      <x:c r="O203" s="16"/>
      <x:c r="P203" s="16"/>
      <x:c r="Q203" s="16"/>
      <x:c r="R203" s="18" t="str">
        <x:f t="shared" si="11"/>
      </x:c>
      <x:c r="S203" s="16"/>
    </x:row>
    <x:row r="204">
      <x:c r="I204" t="str">
        <x:f t="shared" si="9"/>
      </x:c>
      <x:c r="J204" t="str">
        <x:f t="shared" si="10"/>
      </x:c>
      <x:c r="K204" t="str">
        <x:f>IF(I204="","",IF(I204&lt;=Скали!$B$1,"да","не"))</x:f>
      </x:c>
      <x:c r="R204" t="str">
        <x:f t="shared" si="11"/>
      </x:c>
    </x:row>
    <x:row r="205">
      <x:c r="I205" t="str">
        <x:f t="shared" si="9"/>
      </x:c>
      <x:c r="J205" t="str">
        <x:f t="shared" si="10"/>
      </x:c>
      <x:c r="K205" t="str">
        <x:f>IF(I205="","",IF(I205&lt;=Скали!$B$1,"да","не"))</x:f>
      </x:c>
      <x:c r="R205" t="str">
        <x:f t="shared" si="11"/>
      </x:c>
    </x:row>
    <x:row r="206">
      <x:c r="I206" t="str">
        <x:f t="shared" si="9"/>
      </x:c>
      <x:c r="J206" t="str">
        <x:f t="shared" si="10"/>
      </x:c>
      <x:c r="K206" t="str">
        <x:f>IF(I206="","",IF(I206&lt;=Скали!$B$1,"да","не"))</x:f>
      </x:c>
      <x:c r="R206" t="str">
        <x:f t="shared" si="11"/>
      </x:c>
    </x:row>
    <x:row r="207">
      <x:c r="I207" t="str">
        <x:f t="shared" si="9"/>
      </x:c>
      <x:c r="J207" t="str">
        <x:f t="shared" si="10"/>
      </x:c>
      <x:c r="K207" t="str">
        <x:f>IF(I207="","",IF(I207&lt;=Скали!$B$1,"да","не"))</x:f>
      </x:c>
      <x:c r="R207" t="str">
        <x:f t="shared" si="11"/>
      </x:c>
    </x:row>
    <x:row r="208">
      <x:c r="I208" t="str">
        <x:f t="shared" si="9"/>
      </x:c>
      <x:c r="J208" t="str">
        <x:f t="shared" si="10"/>
      </x:c>
      <x:c r="K208" t="str">
        <x:f>IF(I208="","",IF(I208&lt;=Скали!$B$1,"да","не"))</x:f>
      </x:c>
      <x:c r="R208" t="str">
        <x:f t="shared" si="11"/>
      </x:c>
    </x:row>
    <x:row r="209">
      <x:c r="I209" t="str">
        <x:f t="shared" si="9"/>
      </x:c>
      <x:c r="J209" t="str">
        <x:f t="shared" si="10"/>
      </x:c>
      <x:c r="K209" t="str">
        <x:f>IF(I209="","",IF(I209&lt;=Скали!$B$1,"да","не"))</x:f>
      </x:c>
      <x:c r="R209" t="str">
        <x:f t="shared" si="11"/>
      </x:c>
    </x:row>
    <x:row r="210">
      <x:c r="I210" t="str">
        <x:f t="shared" si="9"/>
      </x:c>
      <x:c r="J210" t="str">
        <x:f t="shared" si="10"/>
      </x:c>
      <x:c r="K210" t="str">
        <x:f>IF(I210="","",IF(I210&lt;=Скали!$B$1,"да","не"))</x:f>
      </x:c>
      <x:c r="R210" t="str">
        <x:f t="shared" si="11"/>
      </x:c>
    </x:row>
  </x:sheetData>
  <x:conditionalFormatting sqref="I2:I210">
    <x:cfRule type="cellIs" dxfId="15" priority="2" operator="between">
      <x:formula>1</x:formula>
      <x:formula>4</x:formula>
    </x:cfRule>
    <x:cfRule type="cellIs" dxfId="14" priority="3" operator="between">
      <x:formula>5</x:formula>
      <x:formula>9</x:formula>
    </x:cfRule>
    <x:cfRule type="cellIs" dxfId="13" priority="4" operator="between">
      <x:formula>10</x:formula>
      <x:formula>15</x:formula>
    </x:cfRule>
    <x:cfRule type="cellIs" dxfId="12" priority="5" operator="between">
      <x:formula>16</x:formula>
      <x:formula>25</x:formula>
    </x:cfRule>
  </x:conditionalFormatting>
  <x:conditionalFormatting sqref="R2:R210">
    <x:cfRule type="cellIs" dxfId="11" priority="6" operator="between">
      <x:formula>1</x:formula>
      <x:formula>4</x:formula>
    </x:cfRule>
    <x:cfRule type="cellIs" dxfId="10" priority="7" operator="between">
      <x:formula>5</x:formula>
      <x:formula>9</x:formula>
    </x:cfRule>
    <x:cfRule type="cellIs" dxfId="9" priority="8" operator="between">
      <x:formula>10</x:formula>
      <x:formula>15</x:formula>
    </x:cfRule>
    <x:cfRule type="cellIs" dxfId="8" priority="9" operator="between">
      <x:formula>16</x:formula>
      <x:formula>25</x:formula>
    </x:cfRule>
  </x:conditionalFormatting>
  <x:dataValidations count="2">
    <x:dataValidation type="list" allowBlank="1" sqref="P2:Q210 G2:H210">
      <x:formula1>"1,2,3,4,5"</x:formula1>
      <x:formula2>0</x:formula2>
    </x:dataValidation>
    <x:dataValidation type="list" allowBlank="1" sqref="L2:L210">
      <x:formula1>"намаляване,прехвърляне,избягване,приемане"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91f367b3e73440b0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109375" defaultRowHeight="15"/>
  <x:cols>
    <x:col min="1" max="1" width="9" hidden="0" customWidth="1"/>
    <x:col min="2" max="2" width="10" hidden="0" customWidth="1"/>
    <x:col min="3" max="3" width="43" hidden="0" customWidth="1"/>
    <x:col min="4" max="4" width="14" hidden="0" customWidth="1"/>
    <x:col min="5" max="5" width="16" hidden="0" customWidth="1"/>
    <x:col min="6" max="6" width="82" hidden="0" customWidth="1"/>
    <x:col min="7" max="7" width="26" hidden="0" customWidth="1"/>
    <x:col min="8" max="8" width="30" hidden="0" customWidth="1"/>
    <x:col min="9" max="11" width="12" customWidth="1"/>
    <x:col min="12" max="13" width="8" customWidth="1"/>
    <x:col min="14" max="14" width="14" hidden="0" customWidth="1"/>
    <x:col min="15" max="15" width="65" hidden="0" customWidth="1"/>
    <x:col min="9" max="9" width="12" hidden="0" customWidth="1"/>
    <x:col min="10" max="10" width="12" hidden="0" customWidth="1"/>
    <x:col min="11" max="11" width="15" hidden="0" customWidth="1"/>
    <x:col min="12" max="12" width="12" hidden="0" customWidth="1"/>
    <x:col min="13" max="13" width="12" hidden="0" customWidth="1"/>
  </x:cols>
  <x:sheetData>
    <x:row r="1" ht="46" customHeight="1">
      <x:c r="A1" s="39" t="s">
        <x:v>94</x:v>
      </x:c>
      <x:c r="B1" s="39" t="s">
        <x:v>111</x:v>
      </x:c>
      <x:c r="C1" s="39" t="s">
        <x:v>112</x:v>
      </x:c>
      <x:c r="D1" s="39" t="s">
        <x:v>113</x:v>
      </x:c>
      <x:c r="E1" s="39" t="s">
        <x:v>114</x:v>
      </x:c>
      <x:c r="F1" s="39" t="s">
        <x:v>115</x:v>
      </x:c>
      <x:c r="G1" s="39" t="s">
        <x:v>116</x:v>
      </x:c>
      <x:c r="H1" s="39" t="s">
        <x:v>104</x:v>
      </x:c>
      <x:c r="I1" s="39" t="s">
        <x:v>105</x:v>
      </x:c>
      <x:c r="J1" s="39" t="s">
        <x:v>117</x:v>
      </x:c>
      <x:c r="K1" s="39" t="s">
        <x:v>118</x:v>
      </x:c>
      <x:c r="L1" s="39" t="s">
        <x:v>119</x:v>
      </x:c>
      <x:c r="M1" s="39" t="s">
        <x:v>120</x:v>
      </x:c>
      <x:c r="N1" s="39" t="s">
        <x:v>109</x:v>
      </x:c>
      <x:c r="O1" s="39" t="s">
        <x:v>121</x:v>
      </x:c>
    </x:row>
    <x:row r="2" ht="64" customHeight="1">
      <x:c r="A2" s="40" t="str">
        <x:v>R-01</x:v>
      </x:c>
      <x:c r="B2" s="40" t="str">
        <x:v>A-01</x:v>
      </x:c>
      <x:c r="C2" s="40" t="str">
        <x:v>Ransomware спира резервационната база</x:v>
      </x:c>
      <x:c r="D2" s="42" t="n">
        <x:f>IFERROR(INDEX('Регистър на риска'!$I:$I,MATCH(A2,'Регистър на риска'!$A:$A,0)),"")</x:f>
        <x:v>20</x:v>
      </x:c>
      <x:c r="E2" s="40" t="str">
        <x:v>намаляване</x:v>
      </x:c>
      <x:c r="F2" s="40" t="str">
        <x:v>Всекидневен backup на базата и едно отделено копие. Тест за възстановяване веднъж месечно.</x:v>
      </x:c>
      <x:c r="G2" s="40" t="str">
        <x:v>A.8.13, A.8.7</x:v>
      </x:c>
      <x:c r="H2" s="40" t="str">
        <x:v>Ръководител резервации</x:v>
      </x:c>
      <x:c r="I2" s="40" t="str">
        <x:v>30 дни</x:v>
      </x:c>
      <x:c r="J2" s="40" t="str">
        <x:v>4, 13</x:v>
      </x:c>
      <x:c r="K2" s="40" t="str">
        <x:v>планиран</x:v>
      </x:c>
      <x:c r="L2" s="40"/>
      <x:c r="M2" s="40"/>
      <x:c r="N2" s="42" t="str">
        <x:f t="shared" ref="N2:N65" si="0">IF(OR(L2="",M2=""),"",L2*M2)</x:f>
      </x:c>
      <x:c r="O2" s="41" t="str">
        <x:v>График за backup и резултат от restore тест.</x:v>
      </x:c>
    </x:row>
    <x:row r="3" ht="64" customHeight="1">
      <x:c r="A3" s="40" t="str">
        <x:v>R-02</x:v>
      </x:c>
      <x:c r="B3" s="40" t="str">
        <x:v>A-02</x:v>
      </x:c>
      <x:c r="C3" s="40" t="str">
        <x:v>Достъп до личните данни с чужд профил</x:v>
      </x:c>
      <x:c r="D3" s="42" t="n">
        <x:f>IFERROR(INDEX('Регистър на риска'!$I:$I,MATCH(A3,'Регистър на риска'!$A:$A,0)),"")</x:f>
        <x:v>20</x:v>
      </x:c>
      <x:c r="E3" s="40" t="str">
        <x:v>намаляване</x:v>
      </x:c>
      <x:c r="F3" s="40" t="str">
        <x:v>Отделни роли за рецепция и администрация, MFA за администратори и преглед на правата на всеки 3 месеца.</x:v>
      </x:c>
      <x:c r="G3" s="40" t="str">
        <x:v>A.5.15, A.5.18, A.8.5</x:v>
      </x:c>
      <x:c r="H3" s="40" t="str">
        <x:v>Ръководител резервации</x:v>
      </x:c>
      <x:c r="I3" s="40" t="str">
        <x:v>30 дни</x:v>
      </x:c>
      <x:c r="J3" s="40" t="str">
        <x:v>7, 11</x:v>
      </x:c>
      <x:c r="K3" s="40" t="str">
        <x:v>планиран</x:v>
      </x:c>
      <x:c r="L3" s="40"/>
      <x:c r="M3" s="40"/>
      <x:c r="N3" s="42" t="str">
        <x:f t="shared" si="0">IF(OR(L3="",M3=""),"",L3*M3)</x:f>
      </x:c>
      <x:c r="O3" s="41" t="str">
        <x:v>Списък с роли, MFA настройка и тест на достъпа.</x:v>
      </x:c>
    </x:row>
    <x:row r="4" ht="64" customHeight="1">
      <x:c r="A4" s="40" t="str">
        <x:v>R-03</x:v>
      </x:c>
      <x:c r="B4" s="40" t="str">
        <x:v>A-05</x:v>
      </x:c>
      <x:c r="C4" s="40" t="str">
        <x:v>Достъп от гостов Wi-Fi до вътрешната мрежа</x:v>
      </x:c>
      <x:c r="D4" s="42" t="n">
        <x:f>IFERROR(INDEX('Регистър на риска'!$I:$I,MATCH(A4,'Регистър на риска'!$A:$A,0)),"")</x:f>
        <x:v>16</x:v>
      </x:c>
      <x:c r="E4" s="40" t="str">
        <x:v>намаляване</x:v>
      </x:c>
      <x:c r="F4" s="40" t="str">
        <x:v>nftables: DROP от 192.168.100.0/24 към вътрешните мрежи. Гостите излизат само към HTTP/HTTPS в интернет.</x:v>
      </x:c>
      <x:c r="G4" s="40" t="str">
        <x:v>A.8.20, A.8.22</x:v>
      </x:c>
      <x:c r="H4" s="40" t="str">
        <x:v>Ръководител ИТ</x:v>
      </x:c>
      <x:c r="I4" s="40" t="str">
        <x:v>30 дни</x:v>
      </x:c>
      <x:c r="J4" s="40" t="str">
        <x:v>9</x:v>
      </x:c>
      <x:c r="K4" s="40" t="str">
        <x:v>планиран</x:v>
      </x:c>
      <x:c r="L4" s="40"/>
      <x:c r="M4" s="40"/>
      <x:c r="N4" s="42" t="str">
        <x:f t="shared" si="0">IF(OR(L4="",M4=""),"",L4*M4)</x:f>
      </x:c>
      <x:c r="O4" s="40" t="str">
        <x:v>nftables.conf и тестове с ping/curl/nc.</x:v>
      </x:c>
    </x:row>
    <x:row r="5" ht="64" customHeight="1">
      <x:c r="A5" s="40" t="str">
        <x:v>R-04</x:v>
      </x:c>
      <x:c r="B5" s="40" t="str">
        <x:v>A-04</x:v>
      </x:c>
      <x:c r="C5" s="40" t="str">
        <x:v>Пробив в публичния портал</x:v>
      </x:c>
      <x:c r="D5" s="42" t="n">
        <x:f>IFERROR(INDEX('Регистър на риска'!$I:$I,MATCH(A5,'Регистър на риска'!$A:$A,0)),"")</x:f>
        <x:v>16</x:v>
      </x:c>
      <x:c r="E5" s="40" t="str">
        <x:v>намаляване</x:v>
      </x:c>
      <x:c r="F5" s="40" t="str">
        <x:v>HTTPS за портала, редовни актуализации и проверка за уязвимости веднъж месечно.</x:v>
      </x:c>
      <x:c r="G5" s="40" t="str">
        <x:v>A.8.8, A.8.24</x:v>
      </x:c>
      <x:c r="H5" s="40" t="str">
        <x:v>Ръководител ИТ</x:v>
      </x:c>
      <x:c r="I5" s="40" t="str">
        <x:v>30 дни</x:v>
      </x:c>
      <x:c r="J5" s="40" t="str">
        <x:v>2, 11</x:v>
      </x:c>
      <x:c r="K5" s="40" t="str">
        <x:v>планиран</x:v>
      </x:c>
      <x:c r="L5" s="40"/>
      <x:c r="M5" s="40"/>
      <x:c r="N5" s="42" t="str">
        <x:f t="shared" si="0">IF(OR(L5="",M5=""),"",L5*M5)</x:f>
      </x:c>
      <x:c r="O5" s="40" t="str">
        <x:v>Проверка с curl и резултат от Nmap.</x:v>
      </x:c>
    </x:row>
    <x:row r="6" ht="64" customHeight="1">
      <x:c r="A6" s="40" t="str">
        <x:v>R-05</x:v>
      </x:c>
      <x:c r="B6" s="40" t="str">
        <x:v>A-10</x:v>
      </x:c>
      <x:c r="C6" s="40" t="str">
        <x:v>Отгатване на парола на служител</x:v>
      </x:c>
      <x:c r="D6" s="42" t="n">
        <x:f>IFERROR(INDEX('Регистър на риска'!$I:$I,MATCH(A6,'Регистър на риска'!$A:$A,0)),"")</x:f>
        <x:v>16</x:v>
      </x:c>
      <x:c r="E6" s="40" t="str">
        <x:v>намаляване</x:v>
      </x:c>
      <x:c r="F6" s="40" t="str">
        <x:v>MFA за служителите, отделни акаунти и ограничение на грешните опити за вход.</x:v>
      </x:c>
      <x:c r="G6" s="40" t="str">
        <x:v>A.8.5, A.8.16</x:v>
      </x:c>
      <x:c r="H6" s="40" t="str">
        <x:v>Ръководител ИТ</x:v>
      </x:c>
      <x:c r="I6" s="40" t="str">
        <x:v>30 дни</x:v>
      </x:c>
      <x:c r="J6" s="40" t="str">
        <x:v>7, 13</x:v>
      </x:c>
      <x:c r="K6" s="40" t="str">
        <x:v>планиран</x:v>
      </x:c>
      <x:c r="L6" s="40"/>
      <x:c r="M6" s="40"/>
      <x:c r="N6" s="42" t="str">
        <x:f t="shared" si="0">IF(OR(L6="",M6=""),"",L6*M6)</x:f>
      </x:c>
      <x:c r="O6" s="40" t="str">
        <x:v>Настройки за вход и тест с грешна парола.</x:v>
      </x:c>
    </x:row>
    <x:row r="7" ht="64" customHeight="1">
      <x:c r="A7" s="40" t="str">
        <x:v>R-06</x:v>
      </x:c>
      <x:c r="B7" s="40" t="str">
        <x:v>A-06</x:v>
      </x:c>
      <x:c r="C7" s="40" t="str">
        <x:v>Грешно или променено firewall правило</x:v>
      </x:c>
      <x:c r="D7" s="42" t="n">
        <x:f>IFERROR(INDEX('Регистър на риска'!$I:$I,MATCH(A7,'Регистър на риска'!$A:$A,0)),"")</x:f>
        <x:v>15</x:v>
      </x:c>
      <x:c r="E7" s="40" t="str">
        <x:v>намаляване</x:v>
      </x:c>
      <x:c r="F7" s="40" t="str">
        <x:v>Промените в nftables да се одобряват от Ръководител ИТ. Правилата да се пазят в Git и да се тестват.</x:v>
      </x:c>
      <x:c r="G7" s="40" t="str">
        <x:v>A.8.20, A.8.32</x:v>
      </x:c>
      <x:c r="H7" s="40" t="str">
        <x:v>Ръководител ИТ</x:v>
      </x:c>
      <x:c r="I7" s="40" t="str">
        <x:v>90 дни</x:v>
      </x:c>
      <x:c r="J7" s="40" t="str">
        <x:v>9</x:v>
      </x:c>
      <x:c r="K7" s="40" t="str">
        <x:v>планиран</x:v>
      </x:c>
      <x:c r="L7" s="40"/>
      <x:c r="M7" s="40"/>
      <x:c r="N7" s="42" t="str">
        <x:f t="shared" si="0">IF(OR(L7="",M7=""),"",L7*M7)</x:f>
      </x:c>
      <x:c r="O7" s="40" t="str">
        <x:v>nftables.conf в Git и резултати от тестовете.</x:v>
      </x:c>
    </x:row>
    <x:row r="8" ht="64" customHeight="1">
      <x:c r="A8" s="40" t="str">
        <x:v>R-07</x:v>
      </x:c>
      <x:c r="B8" s="40" t="str">
        <x:v>A-03</x:v>
      </x:c>
      <x:c r="C8" s="40" t="str">
        <x:v>PMS става недостъпна</x:v>
      </x:c>
      <x:c r="D8" s="42" t="n">
        <x:f>IFERROR(INDEX('Регистър на риска'!$I:$I,MATCH(A8,'Регистър на риска'!$A:$A,0)),"")</x:f>
        <x:v>12</x:v>
      </x:c>
      <x:c r="E8" s="40" t="str">
        <x:v>намаляване</x:v>
      </x:c>
      <x:c r="F8" s="40" t="str">
        <x:v>Лимит на заявките, известяване при спиране и план как рецепцията да работи при проблем.</x:v>
      </x:c>
      <x:c r="G8" s="40" t="str">
        <x:v>A.8.6, A.8.16</x:v>
      </x:c>
      <x:c r="H8" s="40" t="str">
        <x:v>Оперативен директор</x:v>
      </x:c>
      <x:c r="I8" s="40" t="str">
        <x:v>90 дни</x:v>
      </x:c>
      <x:c r="J8" s="40" t="str">
        <x:v>9, 13</x:v>
      </x:c>
      <x:c r="K8" s="40" t="str">
        <x:v>планиран</x:v>
      </x:c>
      <x:c r="L8" s="40"/>
      <x:c r="M8" s="40"/>
      <x:c r="N8" s="42" t="str">
        <x:f t="shared" si="0">IF(OR(L8="",M8=""),"",L8*M8)</x:f>
      </x:c>
      <x:c r="O8" s="40" t="str">
        <x:v>Логове от мониторинга и кратка процедура.</x:v>
      </x:c>
    </x:row>
    <x:row r="9" ht="64" customHeight="1">
      <x:c r="A9" s="40" t="str">
        <x:v>R-08</x:v>
      </x:c>
      <x:c r="B9" s="40" t="str">
        <x:v>A-09</x:v>
      </x:c>
      <x:c r="C9" s="40" t="str">
        <x:v>Нежелана връзка между хотелите</x:v>
      </x:c>
      <x:c r="D9" s="42" t="n">
        <x:f>IFERROR(INDEX('Регистър на риска'!$I:$I,MATCH(A9,'Регистър на риска'!$A:$A,0)),"")</x:f>
        <x:v>12</x:v>
      </x:c>
      <x:c r="E9" s="40" t="str">
        <x:v>намаляване</x:v>
      </x:c>
      <x:c r="F9" s="40" t="str">
        <x:v>Firewall блокира директни връзки между хотелските сегменти, освен изрично позволените към централата.</x:v>
      </x:c>
      <x:c r="G9" s="40" t="str">
        <x:v>A.8.22, A.8.20</x:v>
      </x:c>
      <x:c r="H9" s="40" t="str">
        <x:v>Ръководител ИТ</x:v>
      </x:c>
      <x:c r="I9" s="40" t="str">
        <x:v>90 дни</x:v>
      </x:c>
      <x:c r="J9" s="40" t="str">
        <x:v>9</x:v>
      </x:c>
      <x:c r="K9" s="40" t="str">
        <x:v>планиран</x:v>
      </x:c>
      <x:c r="L9" s="40"/>
      <x:c r="M9" s="40"/>
      <x:c r="N9" s="42" t="str">
        <x:f t="shared" si="0">IF(OR(L9="",M9=""),"",L9*M9)</x:f>
      </x:c>
      <x:c r="O9" s="40" t="str">
        <x:v>nftables правила и неуспешен тест между хотелите.</x:v>
      </x:c>
    </x:row>
    <x:row r="10" ht="64" customHeight="1">
      <x:c r="A10" s="40" t="str">
        <x:v>R-09</x:v>
      </x:c>
      <x:c r="B10" s="40" t="str">
        <x:v>A-11</x:v>
      </x:c>
      <x:c r="C10" s="40" t="str">
        <x:v>Кражба на TLS частен ключ</x:v>
      </x:c>
      <x:c r="D10" s="42" t="n">
        <x:f>IFERROR(INDEX('Регистър на риска'!$I:$I,MATCH(A10,'Регистър на риска'!$A:$A,0)),"")</x:f>
        <x:v>12</x:v>
      </x:c>
      <x:c r="E10" s="40" t="str">
        <x:v>намаляване</x:v>
      </x:c>
      <x:c r="F10" s="40" t="str">
        <x:v>Само уеб администраторът да има достъп до частния ключ. При изтичане ключът и сертификатът се сменят.</x:v>
      </x:c>
      <x:c r="G10" s="40" t="str">
        <x:v>A.8.24, A.5.17</x:v>
      </x:c>
      <x:c r="H10" s="40" t="str">
        <x:v>Ръководител ИТ</x:v>
      </x:c>
      <x:c r="I10" s="40" t="str">
        <x:v>90 дни</x:v>
      </x:c>
      <x:c r="J10" s="40" t="str">
        <x:v>11</x:v>
      </x:c>
      <x:c r="K10" s="40" t="str">
        <x:v>планиран</x:v>
      </x:c>
      <x:c r="L10" s="40"/>
      <x:c r="M10" s="40"/>
      <x:c r="N10" s="42" t="str">
        <x:f t="shared" si="0">IF(OR(L10="",M10=""),"",L10*M10)</x:f>
      </x:c>
      <x:c r="O10" s="40" t="str">
        <x:v>Проверка на файловите права и сертификата.</x:v>
      </x:c>
    </x:row>
    <x:row r="11" ht="64" customHeight="1">
      <x:c r="A11" s="40" t="str">
        <x:v>R-10</x:v>
      </x:c>
      <x:c r="B11" s="40" t="str">
        <x:v>A-12</x:v>
      </x:c>
      <x:c r="C11" s="40" t="str">
        <x:v>Изтрити данни на сървър srv без backup</x:v>
      </x:c>
      <x:c r="D11" s="42" t="n">
        <x:f>IFERROR(INDEX('Регистър на риска'!$I:$I,MATCH(A11,'Регистър на риска'!$A:$A,0)),"")</x:f>
        <x:v>15</x:v>
      </x:c>
      <x:c r="E11" s="40" t="str">
        <x:v>намаляване</x:v>
      </x:c>
      <x:c r="F11" s="40" t="str">
        <x:v>Отделно резервно копие на базата, различен backup акаунт и проверка за възстановяване всеки месец.</x:v>
      </x:c>
      <x:c r="G11" s="40" t="str">
        <x:v>A.8.13, A.5.30</x:v>
      </x:c>
      <x:c r="H11" s="40" t="str">
        <x:v>Ръководител ИТ</x:v>
      </x:c>
      <x:c r="I11" s="40" t="str">
        <x:v>90 дни</x:v>
      </x:c>
      <x:c r="J11" s="40" t="str">
        <x:v>4, 13</x:v>
      </x:c>
      <x:c r="K11" s="40" t="str">
        <x:v>планиран</x:v>
      </x:c>
      <x:c r="L11" s="40"/>
      <x:c r="M11" s="40"/>
      <x:c r="N11" s="42" t="str">
        <x:f t="shared" si="0">IF(OR(L11="",M11=""),"",L11*M11)</x:f>
      </x:c>
      <x:c r="O11" s="40" t="str">
        <x:v>Файл с настройките за backup и резултат от restore тест.</x:v>
      </x:c>
    </x:row>
    <x:row r="12">
      <x:c r="A12" s="16"/>
      <x:c r="B12" s="16"/>
      <x:c r="C12" s="16"/>
      <x:c r="D12" s="18" t="str">
        <x:f>IFERROR(INDEX('Регистър на риска'!$I:$I,MATCH(A12,'Регистър на риска'!$A:$A,0)),"")</x:f>
      </x:c>
      <x:c r="E12" s="16"/>
      <x:c r="F12" s="16"/>
      <x:c r="G12" s="16"/>
      <x:c r="H12" s="16"/>
      <x:c r="I12" s="16"/>
      <x:c r="J12" s="16"/>
      <x:c r="K12" s="16"/>
      <x:c r="L12" s="16"/>
      <x:c r="M12" s="16"/>
      <x:c r="N12" s="18" t="str">
        <x:f t="shared" si="0"/>
      </x:c>
      <x:c r="O12" s="16"/>
    </x:row>
    <x:row r="13">
      <x:c r="A13" s="16"/>
      <x:c r="B13" s="16"/>
      <x:c r="C13" s="16"/>
      <x:c r="D13" s="18" t="str">
        <x:f>IFERROR(INDEX('Регистър на риска'!$I:$I,MATCH(A13,'Регистър на риска'!$A:$A,0)),"")</x:f>
      </x:c>
      <x:c r="E13" s="16"/>
      <x:c r="F13" s="16"/>
      <x:c r="G13" s="16"/>
      <x:c r="H13" s="16"/>
      <x:c r="I13" s="16"/>
      <x:c r="J13" s="16"/>
      <x:c r="K13" s="16"/>
      <x:c r="L13" s="16"/>
      <x:c r="M13" s="16"/>
      <x:c r="N13" s="18" t="str">
        <x:f t="shared" si="0"/>
      </x:c>
      <x:c r="O13" s="16"/>
    </x:row>
    <x:row r="14">
      <x:c r="A14" s="16"/>
      <x:c r="B14" s="16"/>
      <x:c r="C14" s="16"/>
      <x:c r="D14" s="18" t="str">
        <x:f>IFERROR(INDEX('Регистър на риска'!$I:$I,MATCH(A14,'Регистър на риска'!$A:$A,0)),"")</x:f>
      </x:c>
      <x:c r="E14" s="16"/>
      <x:c r="F14" s="16"/>
      <x:c r="G14" s="16"/>
      <x:c r="H14" s="16"/>
      <x:c r="I14" s="16"/>
      <x:c r="J14" s="16"/>
      <x:c r="K14" s="16"/>
      <x:c r="L14" s="16"/>
      <x:c r="M14" s="16"/>
      <x:c r="N14" s="18" t="str">
        <x:f t="shared" si="0"/>
      </x:c>
      <x:c r="O14" s="16"/>
    </x:row>
    <x:row r="15">
      <x:c r="A15" s="16"/>
      <x:c r="B15" s="16"/>
      <x:c r="C15" s="16"/>
      <x:c r="D15" s="18" t="str">
        <x:f>IFERROR(INDEX('Регистър на риска'!$I:$I,MATCH(A15,'Регистър на риска'!$A:$A,0)),"")</x:f>
      </x:c>
      <x:c r="E15" s="16"/>
      <x:c r="F15" s="16"/>
      <x:c r="G15" s="16"/>
      <x:c r="H15" s="16"/>
      <x:c r="I15" s="16"/>
      <x:c r="J15" s="16"/>
      <x:c r="K15" s="16"/>
      <x:c r="L15" s="16"/>
      <x:c r="M15" s="16"/>
      <x:c r="N15" s="18" t="str">
        <x:f t="shared" si="0"/>
      </x:c>
      <x:c r="O15" s="16"/>
    </x:row>
    <x:row r="16">
      <x:c r="A16" s="16"/>
      <x:c r="B16" s="16"/>
      <x:c r="C16" s="16"/>
      <x:c r="D16" s="18" t="str">
        <x:f>IFERROR(INDEX('Регистър на риска'!$I:$I,MATCH(A16,'Регистър на риска'!$A:$A,0)),"")</x:f>
      </x:c>
      <x:c r="E16" s="16"/>
      <x:c r="F16" s="16"/>
      <x:c r="G16" s="16"/>
      <x:c r="H16" s="16"/>
      <x:c r="I16" s="16"/>
      <x:c r="J16" s="16"/>
      <x:c r="K16" s="16"/>
      <x:c r="L16" s="16"/>
      <x:c r="M16" s="16"/>
      <x:c r="N16" s="18" t="str">
        <x:f t="shared" si="0"/>
      </x:c>
      <x:c r="O16" s="16"/>
    </x:row>
    <x:row r="17">
      <x:c r="A17" s="16"/>
      <x:c r="B17" s="16"/>
      <x:c r="C17" s="16"/>
      <x:c r="D17" s="18" t="str">
        <x:f>IFERROR(INDEX('Регистър на риска'!$I:$I,MATCH(A17,'Регистър на риска'!$A:$A,0)),"")</x:f>
      </x:c>
      <x:c r="E17" s="16"/>
      <x:c r="F17" s="16"/>
      <x:c r="G17" s="16"/>
      <x:c r="H17" s="16"/>
      <x:c r="I17" s="16"/>
      <x:c r="J17" s="16"/>
      <x:c r="K17" s="16"/>
      <x:c r="L17" s="16"/>
      <x:c r="M17" s="16"/>
      <x:c r="N17" s="18" t="str">
        <x:f t="shared" si="0"/>
      </x:c>
      <x:c r="O17" s="16"/>
    </x:row>
    <x:row r="18">
      <x:c r="A18" s="16"/>
      <x:c r="B18" s="16"/>
      <x:c r="C18" s="16"/>
      <x:c r="D18" s="18" t="str">
        <x:f>IFERROR(INDEX('Регистър на риска'!$I:$I,MATCH(A18,'Регистър на риска'!$A:$A,0)),"")</x:f>
      </x:c>
      <x:c r="E18" s="16"/>
      <x:c r="F18" s="16"/>
      <x:c r="G18" s="16"/>
      <x:c r="H18" s="16"/>
      <x:c r="I18" s="16"/>
      <x:c r="J18" s="16"/>
      <x:c r="K18" s="16"/>
      <x:c r="L18" s="16"/>
      <x:c r="M18" s="16"/>
      <x:c r="N18" s="18" t="str">
        <x:f t="shared" si="0"/>
      </x:c>
      <x:c r="O18" s="16"/>
    </x:row>
    <x:row r="19">
      <x:c r="A19" s="16"/>
      <x:c r="B19" s="16"/>
      <x:c r="C19" s="16"/>
      <x:c r="D19" s="18" t="str">
        <x:f>IFERROR(INDEX('Регистър на риска'!$I:$I,MATCH(A19,'Регистър на риска'!$A:$A,0)),"")</x:f>
      </x:c>
      <x:c r="E19" s="16"/>
      <x:c r="F19" s="16"/>
      <x:c r="G19" s="16"/>
      <x:c r="H19" s="16"/>
      <x:c r="I19" s="16"/>
      <x:c r="J19" s="16"/>
      <x:c r="K19" s="16"/>
      <x:c r="L19" s="16"/>
      <x:c r="M19" s="16"/>
      <x:c r="N19" s="18" t="str">
        <x:f t="shared" si="0"/>
      </x:c>
      <x:c r="O19" s="16"/>
    </x:row>
    <x:row r="20">
      <x:c r="A20" s="16"/>
      <x:c r="B20" s="16"/>
      <x:c r="C20" s="16"/>
      <x:c r="D20" s="18" t="str">
        <x:f>IFERROR(INDEX('Регистър на риска'!$I:$I,MATCH(A20,'Регистър на риска'!$A:$A,0)),"")</x:f>
      </x:c>
      <x:c r="E20" s="16"/>
      <x:c r="F20" s="16"/>
      <x:c r="G20" s="16"/>
      <x:c r="H20" s="16"/>
      <x:c r="I20" s="16"/>
      <x:c r="J20" s="16"/>
      <x:c r="K20" s="16"/>
      <x:c r="L20" s="16"/>
      <x:c r="M20" s="16"/>
      <x:c r="N20" s="18" t="str">
        <x:f t="shared" si="0"/>
      </x:c>
      <x:c r="O20" s="16"/>
    </x:row>
    <x:row r="21">
      <x:c r="A21" s="16"/>
      <x:c r="B21" s="16"/>
      <x:c r="C21" s="16"/>
      <x:c r="D21" s="18" t="str">
        <x:f>IFERROR(INDEX('Регистър на риска'!$I:$I,MATCH(A21,'Регистър на риска'!$A:$A,0)),"")</x:f>
      </x:c>
      <x:c r="E21" s="16"/>
      <x:c r="F21" s="16"/>
      <x:c r="G21" s="16"/>
      <x:c r="H21" s="16"/>
      <x:c r="I21" s="16"/>
      <x:c r="J21" s="16"/>
      <x:c r="K21" s="16"/>
      <x:c r="L21" s="16"/>
      <x:c r="M21" s="16"/>
      <x:c r="N21" s="18" t="str">
        <x:f t="shared" si="0"/>
      </x:c>
      <x:c r="O21" s="16"/>
    </x:row>
    <x:row r="22">
      <x:c r="A22" s="16"/>
      <x:c r="B22" s="16"/>
      <x:c r="C22" s="16"/>
      <x:c r="D22" s="18" t="str">
        <x:f>IFERROR(INDEX('Регистър на риска'!$I:$I,MATCH(A22,'Регистър на риска'!$A:$A,0)),"")</x:f>
      </x:c>
      <x:c r="E22" s="16"/>
      <x:c r="F22" s="16"/>
      <x:c r="G22" s="16"/>
      <x:c r="H22" s="16"/>
      <x:c r="I22" s="16"/>
      <x:c r="J22" s="16"/>
      <x:c r="K22" s="16"/>
      <x:c r="L22" s="16"/>
      <x:c r="M22" s="16"/>
      <x:c r="N22" s="18" t="str">
        <x:f t="shared" si="0"/>
      </x:c>
      <x:c r="O22" s="16"/>
    </x:row>
    <x:row r="23">
      <x:c r="A23" s="16"/>
      <x:c r="B23" s="16"/>
      <x:c r="C23" s="16"/>
      <x:c r="D23" s="18" t="str">
        <x:f>IFERROR(INDEX('Регистър на риска'!$I:$I,MATCH(A23,'Регистър на риска'!$A:$A,0)),"")</x:f>
      </x:c>
      <x:c r="E23" s="16"/>
      <x:c r="F23" s="16"/>
      <x:c r="G23" s="16"/>
      <x:c r="H23" s="16"/>
      <x:c r="I23" s="16"/>
      <x:c r="J23" s="16"/>
      <x:c r="K23" s="16"/>
      <x:c r="L23" s="16"/>
      <x:c r="M23" s="16"/>
      <x:c r="N23" s="18" t="str">
        <x:f t="shared" si="0"/>
      </x:c>
      <x:c r="O23" s="16"/>
    </x:row>
    <x:row r="24">
      <x:c r="A24" s="16"/>
      <x:c r="B24" s="16"/>
      <x:c r="C24" s="16"/>
      <x:c r="D24" s="18" t="str">
        <x:f>IFERROR(INDEX('Регистър на риска'!$I:$I,MATCH(A24,'Регистър на риска'!$A:$A,0)),"")</x:f>
      </x:c>
      <x:c r="E24" s="16"/>
      <x:c r="F24" s="16"/>
      <x:c r="G24" s="16"/>
      <x:c r="H24" s="16"/>
      <x:c r="I24" s="16"/>
      <x:c r="J24" s="16"/>
      <x:c r="K24" s="16"/>
      <x:c r="L24" s="16"/>
      <x:c r="M24" s="16"/>
      <x:c r="N24" s="18" t="str">
        <x:f t="shared" si="0"/>
      </x:c>
      <x:c r="O24" s="16"/>
    </x:row>
    <x:row r="25">
      <x:c r="A25" s="16"/>
      <x:c r="B25" s="16"/>
      <x:c r="C25" s="16"/>
      <x:c r="D25" s="18" t="str">
        <x:f>IFERROR(INDEX('Регистър на риска'!$I:$I,MATCH(A25,'Регистър на риска'!$A:$A,0)),"")</x:f>
      </x:c>
      <x:c r="E25" s="16"/>
      <x:c r="F25" s="16"/>
      <x:c r="G25" s="16"/>
      <x:c r="H25" s="16"/>
      <x:c r="I25" s="16"/>
      <x:c r="J25" s="16"/>
      <x:c r="K25" s="16"/>
      <x:c r="L25" s="16"/>
      <x:c r="M25" s="16"/>
      <x:c r="N25" s="18" t="str">
        <x:f t="shared" si="0"/>
      </x:c>
      <x:c r="O25" s="16"/>
    </x:row>
    <x:row r="26">
      <x:c r="A26" s="16"/>
      <x:c r="B26" s="16"/>
      <x:c r="C26" s="16"/>
      <x:c r="D26" s="18" t="str">
        <x:f>IFERROR(INDEX('Регистър на риска'!$I:$I,MATCH(A26,'Регистър на риска'!$A:$A,0)),"")</x:f>
      </x:c>
      <x:c r="E26" s="16"/>
      <x:c r="F26" s="16"/>
      <x:c r="G26" s="16"/>
      <x:c r="H26" s="16"/>
      <x:c r="I26" s="16"/>
      <x:c r="J26" s="16"/>
      <x:c r="K26" s="16"/>
      <x:c r="L26" s="16"/>
      <x:c r="M26" s="16"/>
      <x:c r="N26" s="18" t="str">
        <x:f t="shared" si="0"/>
      </x:c>
      <x:c r="O26" s="16"/>
    </x:row>
    <x:row r="27">
      <x:c r="A27" s="16"/>
      <x:c r="B27" s="16"/>
      <x:c r="C27" s="16"/>
      <x:c r="D27" s="18" t="str">
        <x:f>IFERROR(INDEX('Регистър на риска'!$I:$I,MATCH(A27,'Регистър на риска'!$A:$A,0)),"")</x:f>
      </x:c>
      <x:c r="E27" s="16"/>
      <x:c r="F27" s="16"/>
      <x:c r="G27" s="16"/>
      <x:c r="H27" s="16"/>
      <x:c r="I27" s="16"/>
      <x:c r="J27" s="16"/>
      <x:c r="K27" s="16"/>
      <x:c r="L27" s="16"/>
      <x:c r="M27" s="16"/>
      <x:c r="N27" s="18" t="str">
        <x:f t="shared" si="0"/>
      </x:c>
      <x:c r="O27" s="16"/>
    </x:row>
    <x:row r="28">
      <x:c r="A28" s="16"/>
      <x:c r="B28" s="16"/>
      <x:c r="C28" s="16"/>
      <x:c r="D28" s="18" t="str">
        <x:f>IFERROR(INDEX('Регистър на риска'!$I:$I,MATCH(A28,'Регистър на риска'!$A:$A,0)),"")</x:f>
      </x:c>
      <x:c r="E28" s="16"/>
      <x:c r="F28" s="16"/>
      <x:c r="G28" s="16"/>
      <x:c r="H28" s="16"/>
      <x:c r="I28" s="16"/>
      <x:c r="J28" s="16"/>
      <x:c r="K28" s="16"/>
      <x:c r="L28" s="16"/>
      <x:c r="M28" s="16"/>
      <x:c r="N28" s="18" t="str">
        <x:f t="shared" si="0"/>
      </x:c>
      <x:c r="O28" s="16"/>
    </x:row>
    <x:row r="29">
      <x:c r="A29" s="16"/>
      <x:c r="B29" s="16"/>
      <x:c r="C29" s="16"/>
      <x:c r="D29" s="18" t="str">
        <x:f>IFERROR(INDEX('Регистър на риска'!$I:$I,MATCH(A29,'Регистър на риска'!$A:$A,0)),"")</x:f>
      </x:c>
      <x:c r="E29" s="16"/>
      <x:c r="F29" s="16"/>
      <x:c r="G29" s="16"/>
      <x:c r="H29" s="16"/>
      <x:c r="I29" s="16"/>
      <x:c r="J29" s="16"/>
      <x:c r="K29" s="16"/>
      <x:c r="L29" s="16"/>
      <x:c r="M29" s="16"/>
      <x:c r="N29" s="18" t="str">
        <x:f t="shared" si="0"/>
      </x:c>
      <x:c r="O29" s="16"/>
    </x:row>
    <x:row r="30">
      <x:c r="A30" s="16"/>
      <x:c r="B30" s="16"/>
      <x:c r="C30" s="16"/>
      <x:c r="D30" s="18" t="str">
        <x:f>IFERROR(INDEX('Регистър на риска'!$I:$I,MATCH(A30,'Регистър на риска'!$A:$A,0)),"")</x:f>
      </x:c>
      <x:c r="E30" s="16"/>
      <x:c r="F30" s="16"/>
      <x:c r="G30" s="16"/>
      <x:c r="H30" s="16"/>
      <x:c r="I30" s="16"/>
      <x:c r="J30" s="16"/>
      <x:c r="K30" s="16"/>
      <x:c r="L30" s="16"/>
      <x:c r="M30" s="16"/>
      <x:c r="N30" s="18" t="str">
        <x:f t="shared" si="0"/>
      </x:c>
      <x:c r="O30" s="16"/>
    </x:row>
    <x:row r="31">
      <x:c r="A31" s="16"/>
      <x:c r="B31" s="16"/>
      <x:c r="C31" s="16"/>
      <x:c r="D31" s="18" t="str">
        <x:f>IFERROR(INDEX('Регистър на риска'!$I:$I,MATCH(A31,'Регистър на риска'!$A:$A,0)),"")</x:f>
      </x:c>
      <x:c r="E31" s="16"/>
      <x:c r="F31" s="16"/>
      <x:c r="G31" s="16"/>
      <x:c r="H31" s="16"/>
      <x:c r="I31" s="16"/>
      <x:c r="J31" s="16"/>
      <x:c r="K31" s="16"/>
      <x:c r="L31" s="16"/>
      <x:c r="M31" s="16"/>
      <x:c r="N31" s="18" t="str">
        <x:f t="shared" si="0"/>
      </x:c>
      <x:c r="O31" s="16"/>
    </x:row>
    <x:row r="32">
      <x:c r="A32" s="16"/>
      <x:c r="B32" s="16"/>
      <x:c r="C32" s="16"/>
      <x:c r="D32" s="18" t="str">
        <x:f>IFERROR(INDEX('Регистър на риска'!$I:$I,MATCH(A32,'Регистър на риска'!$A:$A,0)),"")</x:f>
      </x:c>
      <x:c r="E32" s="16"/>
      <x:c r="F32" s="16"/>
      <x:c r="G32" s="16"/>
      <x:c r="H32" s="16"/>
      <x:c r="I32" s="16"/>
      <x:c r="J32" s="16"/>
      <x:c r="K32" s="16"/>
      <x:c r="L32" s="16"/>
      <x:c r="M32" s="16"/>
      <x:c r="N32" s="18" t="str">
        <x:f t="shared" si="0"/>
      </x:c>
      <x:c r="O32" s="16"/>
    </x:row>
    <x:row r="33">
      <x:c r="A33" s="16"/>
      <x:c r="B33" s="16"/>
      <x:c r="C33" s="16"/>
      <x:c r="D33" s="18" t="str">
        <x:f>IFERROR(INDEX('Регистър на риска'!$I:$I,MATCH(A33,'Регистър на риска'!$A:$A,0)),"")</x:f>
      </x:c>
      <x:c r="E33" s="16"/>
      <x:c r="F33" s="16"/>
      <x:c r="G33" s="16"/>
      <x:c r="H33" s="16"/>
      <x:c r="I33" s="16"/>
      <x:c r="J33" s="16"/>
      <x:c r="K33" s="16"/>
      <x:c r="L33" s="16"/>
      <x:c r="M33" s="16"/>
      <x:c r="N33" s="18" t="str">
        <x:f t="shared" si="0"/>
      </x:c>
      <x:c r="O33" s="16"/>
    </x:row>
    <x:row r="34">
      <x:c r="A34" s="16"/>
      <x:c r="B34" s="16"/>
      <x:c r="C34" s="16"/>
      <x:c r="D34" s="18" t="str">
        <x:f>IFERROR(INDEX('Регистър на риска'!$I:$I,MATCH(A34,'Регистър на риска'!$A:$A,0)),"")</x:f>
      </x:c>
      <x:c r="E34" s="16"/>
      <x:c r="F34" s="16"/>
      <x:c r="G34" s="16"/>
      <x:c r="H34" s="16"/>
      <x:c r="I34" s="16"/>
      <x:c r="J34" s="16"/>
      <x:c r="K34" s="16"/>
      <x:c r="L34" s="16"/>
      <x:c r="M34" s="16"/>
      <x:c r="N34" s="18" t="str">
        <x:f t="shared" si="0"/>
      </x:c>
      <x:c r="O34" s="16"/>
    </x:row>
    <x:row r="35">
      <x:c r="A35" s="16"/>
      <x:c r="B35" s="16"/>
      <x:c r="C35" s="16"/>
      <x:c r="D35" s="18" t="str">
        <x:f>IFERROR(INDEX('Регистър на риска'!$I:$I,MATCH(A35,'Регистър на риска'!$A:$A,0)),"")</x:f>
      </x:c>
      <x:c r="E35" s="16"/>
      <x:c r="F35" s="16"/>
      <x:c r="G35" s="16"/>
      <x:c r="H35" s="16"/>
      <x:c r="I35" s="16"/>
      <x:c r="J35" s="16"/>
      <x:c r="K35" s="16"/>
      <x:c r="L35" s="16"/>
      <x:c r="M35" s="16"/>
      <x:c r="N35" s="18" t="str">
        <x:f t="shared" si="0"/>
      </x:c>
      <x:c r="O35" s="16"/>
    </x:row>
    <x:row r="36">
      <x:c r="A36" s="16"/>
      <x:c r="B36" s="16"/>
      <x:c r="C36" s="16"/>
      <x:c r="D36" s="18" t="str">
        <x:f>IFERROR(INDEX('Регистър на риска'!$I:$I,MATCH(A36,'Регистър на риска'!$A:$A,0)),"")</x:f>
      </x:c>
      <x:c r="E36" s="16"/>
      <x:c r="F36" s="16"/>
      <x:c r="G36" s="16"/>
      <x:c r="H36" s="16"/>
      <x:c r="I36" s="16"/>
      <x:c r="J36" s="16"/>
      <x:c r="K36" s="16"/>
      <x:c r="L36" s="16"/>
      <x:c r="M36" s="16"/>
      <x:c r="N36" s="18" t="str">
        <x:f t="shared" si="0"/>
      </x:c>
      <x:c r="O36" s="16"/>
    </x:row>
    <x:row r="37">
      <x:c r="A37" s="16"/>
      <x:c r="B37" s="16"/>
      <x:c r="C37" s="16"/>
      <x:c r="D37" s="18" t="str">
        <x:f>IFERROR(INDEX('Регистър на риска'!$I:$I,MATCH(A37,'Регистър на риска'!$A:$A,0)),"")</x:f>
      </x:c>
      <x:c r="E37" s="16"/>
      <x:c r="F37" s="16"/>
      <x:c r="G37" s="16"/>
      <x:c r="H37" s="16"/>
      <x:c r="I37" s="16"/>
      <x:c r="J37" s="16"/>
      <x:c r="K37" s="16"/>
      <x:c r="L37" s="16"/>
      <x:c r="M37" s="16"/>
      <x:c r="N37" s="18" t="str">
        <x:f t="shared" si="0"/>
      </x:c>
      <x:c r="O37" s="16"/>
    </x:row>
    <x:row r="38">
      <x:c r="A38" s="16"/>
      <x:c r="B38" s="16"/>
      <x:c r="C38" s="16"/>
      <x:c r="D38" s="18" t="str">
        <x:f>IFERROR(INDEX('Регистър на риска'!$I:$I,MATCH(A38,'Регистър на риска'!$A:$A,0)),"")</x:f>
      </x:c>
      <x:c r="E38" s="16"/>
      <x:c r="F38" s="16"/>
      <x:c r="G38" s="16"/>
      <x:c r="H38" s="16"/>
      <x:c r="I38" s="16"/>
      <x:c r="J38" s="16"/>
      <x:c r="K38" s="16"/>
      <x:c r="L38" s="16"/>
      <x:c r="M38" s="16"/>
      <x:c r="N38" s="18" t="str">
        <x:f t="shared" si="0"/>
      </x:c>
      <x:c r="O38" s="16"/>
    </x:row>
    <x:row r="39">
      <x:c r="A39" s="16"/>
      <x:c r="B39" s="16"/>
      <x:c r="C39" s="16"/>
      <x:c r="D39" s="18" t="str">
        <x:f>IFERROR(INDEX('Регистър на риска'!$I:$I,MATCH(A39,'Регистър на риска'!$A:$A,0)),"")</x:f>
      </x:c>
      <x:c r="E39" s="16"/>
      <x:c r="F39" s="16"/>
      <x:c r="G39" s="16"/>
      <x:c r="H39" s="16"/>
      <x:c r="I39" s="16"/>
      <x:c r="J39" s="16"/>
      <x:c r="K39" s="16"/>
      <x:c r="L39" s="16"/>
      <x:c r="M39" s="16"/>
      <x:c r="N39" s="18" t="str">
        <x:f t="shared" si="0"/>
      </x:c>
      <x:c r="O39" s="16"/>
    </x:row>
    <x:row r="40">
      <x:c r="A40" s="16"/>
      <x:c r="B40" s="16"/>
      <x:c r="C40" s="16"/>
      <x:c r="D40" s="18" t="str">
        <x:f>IFERROR(INDEX('Регистър на риска'!$I:$I,MATCH(A40,'Регистър на риска'!$A:$A,0)),"")</x:f>
      </x:c>
      <x:c r="E40" s="16"/>
      <x:c r="F40" s="16"/>
      <x:c r="G40" s="16"/>
      <x:c r="H40" s="16"/>
      <x:c r="I40" s="16"/>
      <x:c r="J40" s="16"/>
      <x:c r="K40" s="16"/>
      <x:c r="L40" s="16"/>
      <x:c r="M40" s="16"/>
      <x:c r="N40" s="18" t="str">
        <x:f t="shared" si="0"/>
      </x:c>
      <x:c r="O40" s="16"/>
    </x:row>
    <x:row r="41">
      <x:c r="A41" s="16"/>
      <x:c r="B41" s="16"/>
      <x:c r="C41" s="16"/>
      <x:c r="D41" s="18" t="str">
        <x:f>IFERROR(INDEX('Регистър на риска'!$I:$I,MATCH(A41,'Регистър на риска'!$A:$A,0)),"")</x:f>
      </x:c>
      <x:c r="E41" s="16"/>
      <x:c r="F41" s="16"/>
      <x:c r="G41" s="16"/>
      <x:c r="H41" s="16"/>
      <x:c r="I41" s="16"/>
      <x:c r="J41" s="16"/>
      <x:c r="K41" s="16"/>
      <x:c r="L41" s="16"/>
      <x:c r="M41" s="16"/>
      <x:c r="N41" s="18" t="str">
        <x:f t="shared" si="0"/>
      </x:c>
      <x:c r="O41" s="16"/>
    </x:row>
    <x:row r="42">
      <x:c r="A42" s="16"/>
      <x:c r="B42" s="16"/>
      <x:c r="C42" s="16"/>
      <x:c r="D42" s="18" t="str">
        <x:f>IFERROR(INDEX('Регистър на риска'!$I:$I,MATCH(A42,'Регистър на риска'!$A:$A,0)),"")</x:f>
      </x:c>
      <x:c r="E42" s="16"/>
      <x:c r="F42" s="16"/>
      <x:c r="G42" s="16"/>
      <x:c r="H42" s="16"/>
      <x:c r="I42" s="16"/>
      <x:c r="J42" s="16"/>
      <x:c r="K42" s="16"/>
      <x:c r="L42" s="16"/>
      <x:c r="M42" s="16"/>
      <x:c r="N42" s="18" t="str">
        <x:f t="shared" si="0"/>
      </x:c>
      <x:c r="O42" s="16"/>
    </x:row>
    <x:row r="43">
      <x:c r="A43" s="16"/>
      <x:c r="B43" s="16"/>
      <x:c r="C43" s="16"/>
      <x:c r="D43" s="18" t="str">
        <x:f>IFERROR(INDEX('Регистър на риска'!$I:$I,MATCH(A43,'Регистър на риска'!$A:$A,0)),"")</x:f>
      </x:c>
      <x:c r="E43" s="16"/>
      <x:c r="F43" s="16"/>
      <x:c r="G43" s="16"/>
      <x:c r="H43" s="16"/>
      <x:c r="I43" s="16"/>
      <x:c r="J43" s="16"/>
      <x:c r="K43" s="16"/>
      <x:c r="L43" s="16"/>
      <x:c r="M43" s="16"/>
      <x:c r="N43" s="18" t="str">
        <x:f t="shared" si="0"/>
      </x:c>
      <x:c r="O43" s="16"/>
    </x:row>
    <x:row r="44">
      <x:c r="A44" s="16"/>
      <x:c r="B44" s="16"/>
      <x:c r="C44" s="16"/>
      <x:c r="D44" s="18" t="str">
        <x:f>IFERROR(INDEX('Регистър на риска'!$I:$I,MATCH(A44,'Регистър на риска'!$A:$A,0)),"")</x:f>
      </x:c>
      <x:c r="E44" s="16"/>
      <x:c r="F44" s="16"/>
      <x:c r="G44" s="16"/>
      <x:c r="H44" s="16"/>
      <x:c r="I44" s="16"/>
      <x:c r="J44" s="16"/>
      <x:c r="K44" s="16"/>
      <x:c r="L44" s="16"/>
      <x:c r="M44" s="16"/>
      <x:c r="N44" s="18" t="str">
        <x:f t="shared" si="0"/>
      </x:c>
      <x:c r="O44" s="16"/>
    </x:row>
    <x:row r="45">
      <x:c r="A45" s="16"/>
      <x:c r="B45" s="16"/>
      <x:c r="C45" s="16"/>
      <x:c r="D45" s="18" t="str">
        <x:f>IFERROR(INDEX('Регистър на риска'!$I:$I,MATCH(A45,'Регистър на риска'!$A:$A,0)),"")</x:f>
      </x:c>
      <x:c r="E45" s="16"/>
      <x:c r="F45" s="16"/>
      <x:c r="G45" s="16"/>
      <x:c r="H45" s="16"/>
      <x:c r="I45" s="16"/>
      <x:c r="J45" s="16"/>
      <x:c r="K45" s="16"/>
      <x:c r="L45" s="16"/>
      <x:c r="M45" s="16"/>
      <x:c r="N45" s="18" t="str">
        <x:f t="shared" si="0"/>
      </x:c>
      <x:c r="O45" s="16"/>
    </x:row>
    <x:row r="46">
      <x:c r="A46" s="16"/>
      <x:c r="B46" s="16"/>
      <x:c r="C46" s="16"/>
      <x:c r="D46" s="18" t="str">
        <x:f>IFERROR(INDEX('Регистър на риска'!$I:$I,MATCH(A46,'Регистър на риска'!$A:$A,0)),"")</x:f>
      </x:c>
      <x:c r="E46" s="16"/>
      <x:c r="F46" s="16"/>
      <x:c r="G46" s="16"/>
      <x:c r="H46" s="16"/>
      <x:c r="I46" s="16"/>
      <x:c r="J46" s="16"/>
      <x:c r="K46" s="16"/>
      <x:c r="L46" s="16"/>
      <x:c r="M46" s="16"/>
      <x:c r="N46" s="18" t="str">
        <x:f t="shared" si="0"/>
      </x:c>
      <x:c r="O46" s="16"/>
    </x:row>
    <x:row r="47">
      <x:c r="A47" s="16"/>
      <x:c r="B47" s="16"/>
      <x:c r="C47" s="16"/>
      <x:c r="D47" s="18" t="str">
        <x:f>IFERROR(INDEX('Регистър на риска'!$I:$I,MATCH(A47,'Регистър на риска'!$A:$A,0)),"")</x:f>
      </x:c>
      <x:c r="E47" s="16"/>
      <x:c r="F47" s="16"/>
      <x:c r="G47" s="16"/>
      <x:c r="H47" s="16"/>
      <x:c r="I47" s="16"/>
      <x:c r="J47" s="16"/>
      <x:c r="K47" s="16"/>
      <x:c r="L47" s="16"/>
      <x:c r="M47" s="16"/>
      <x:c r="N47" s="18" t="str">
        <x:f t="shared" si="0"/>
      </x:c>
      <x:c r="O47" s="16"/>
    </x:row>
    <x:row r="48">
      <x:c r="A48" s="16"/>
      <x:c r="B48" s="16"/>
      <x:c r="C48" s="16"/>
      <x:c r="D48" s="18" t="str">
        <x:f>IFERROR(INDEX('Регистър на риска'!$I:$I,MATCH(A48,'Регистър на риска'!$A:$A,0)),"")</x:f>
      </x:c>
      <x:c r="E48" s="16"/>
      <x:c r="F48" s="16"/>
      <x:c r="G48" s="16"/>
      <x:c r="H48" s="16"/>
      <x:c r="I48" s="16"/>
      <x:c r="J48" s="16"/>
      <x:c r="K48" s="16"/>
      <x:c r="L48" s="16"/>
      <x:c r="M48" s="16"/>
      <x:c r="N48" s="18" t="str">
        <x:f t="shared" si="0"/>
      </x:c>
      <x:c r="O48" s="16"/>
    </x:row>
    <x:row r="49">
      <x:c r="A49" s="16"/>
      <x:c r="B49" s="16"/>
      <x:c r="C49" s="16"/>
      <x:c r="D49" s="18" t="str">
        <x:f>IFERROR(INDEX('Регистър на риска'!$I:$I,MATCH(A49,'Регистър на риска'!$A:$A,0)),"")</x:f>
      </x:c>
      <x:c r="E49" s="16"/>
      <x:c r="F49" s="16"/>
      <x:c r="G49" s="16"/>
      <x:c r="H49" s="16"/>
      <x:c r="I49" s="16"/>
      <x:c r="J49" s="16"/>
      <x:c r="K49" s="16"/>
      <x:c r="L49" s="16"/>
      <x:c r="M49" s="16"/>
      <x:c r="N49" s="18" t="str">
        <x:f t="shared" si="0"/>
      </x:c>
      <x:c r="O49" s="16"/>
    </x:row>
    <x:row r="50">
      <x:c r="A50" s="16"/>
      <x:c r="B50" s="16"/>
      <x:c r="C50" s="16"/>
      <x:c r="D50" s="18" t="str">
        <x:f>IFERROR(INDEX('Регистър на риска'!$I:$I,MATCH(A50,'Регистър на риска'!$A:$A,0)),"")</x:f>
      </x:c>
      <x:c r="E50" s="16"/>
      <x:c r="F50" s="16"/>
      <x:c r="G50" s="16"/>
      <x:c r="H50" s="16"/>
      <x:c r="I50" s="16"/>
      <x:c r="J50" s="16"/>
      <x:c r="K50" s="16"/>
      <x:c r="L50" s="16"/>
      <x:c r="M50" s="16"/>
      <x:c r="N50" s="18" t="str">
        <x:f t="shared" si="0"/>
      </x:c>
      <x:c r="O50" s="16"/>
    </x:row>
    <x:row r="51">
      <x:c r="A51" s="16"/>
      <x:c r="B51" s="16"/>
      <x:c r="C51" s="16"/>
      <x:c r="D51" s="18" t="str">
        <x:f>IFERROR(INDEX('Регистър на риска'!$I:$I,MATCH(A51,'Регистър на риска'!$A:$A,0)),"")</x:f>
      </x:c>
      <x:c r="E51" s="16"/>
      <x:c r="F51" s="16"/>
      <x:c r="G51" s="16"/>
      <x:c r="H51" s="16"/>
      <x:c r="I51" s="16"/>
      <x:c r="J51" s="16"/>
      <x:c r="K51" s="16"/>
      <x:c r="L51" s="16"/>
      <x:c r="M51" s="16"/>
      <x:c r="N51" s="18" t="str">
        <x:f t="shared" si="0"/>
      </x:c>
      <x:c r="O51" s="16"/>
    </x:row>
    <x:row r="52">
      <x:c r="A52" s="16"/>
      <x:c r="B52" s="16"/>
      <x:c r="C52" s="16"/>
      <x:c r="D52" s="18" t="str">
        <x:f>IFERROR(INDEX('Регистър на риска'!$I:$I,MATCH(A52,'Регистър на риска'!$A:$A,0)),"")</x:f>
      </x:c>
      <x:c r="E52" s="16"/>
      <x:c r="F52" s="16"/>
      <x:c r="G52" s="16"/>
      <x:c r="H52" s="16"/>
      <x:c r="I52" s="16"/>
      <x:c r="J52" s="16"/>
      <x:c r="K52" s="16"/>
      <x:c r="L52" s="16"/>
      <x:c r="M52" s="16"/>
      <x:c r="N52" s="18" t="str">
        <x:f t="shared" si="0"/>
      </x:c>
      <x:c r="O52" s="16"/>
    </x:row>
    <x:row r="53">
      <x:c r="A53" s="16"/>
      <x:c r="B53" s="16"/>
      <x:c r="C53" s="16"/>
      <x:c r="D53" s="18" t="str">
        <x:f>IFERROR(INDEX('Регистър на риска'!$I:$I,MATCH(A53,'Регистър на риска'!$A:$A,0)),"")</x:f>
      </x:c>
      <x:c r="E53" s="16"/>
      <x:c r="F53" s="16"/>
      <x:c r="G53" s="16"/>
      <x:c r="H53" s="16"/>
      <x:c r="I53" s="16"/>
      <x:c r="J53" s="16"/>
      <x:c r="K53" s="16"/>
      <x:c r="L53" s="16"/>
      <x:c r="M53" s="16"/>
      <x:c r="N53" s="18" t="str">
        <x:f t="shared" si="0"/>
      </x:c>
      <x:c r="O53" s="16"/>
    </x:row>
    <x:row r="54">
      <x:c r="A54" s="16"/>
      <x:c r="B54" s="16"/>
      <x:c r="C54" s="16"/>
      <x:c r="D54" s="18" t="str">
        <x:f>IFERROR(INDEX('Регистър на риска'!$I:$I,MATCH(A54,'Регистър на риска'!$A:$A,0)),"")</x:f>
      </x:c>
      <x:c r="E54" s="16"/>
      <x:c r="F54" s="16"/>
      <x:c r="G54" s="16"/>
      <x:c r="H54" s="16"/>
      <x:c r="I54" s="16"/>
      <x:c r="J54" s="16"/>
      <x:c r="K54" s="16"/>
      <x:c r="L54" s="16"/>
      <x:c r="M54" s="16"/>
      <x:c r="N54" s="18" t="str">
        <x:f t="shared" si="0"/>
      </x:c>
      <x:c r="O54" s="16"/>
    </x:row>
    <x:row r="55">
      <x:c r="A55" s="16"/>
      <x:c r="B55" s="16"/>
      <x:c r="C55" s="16"/>
      <x:c r="D55" s="18" t="str">
        <x:f>IFERROR(INDEX('Регистър на риска'!$I:$I,MATCH(A55,'Регистър на риска'!$A:$A,0)),"")</x:f>
      </x:c>
      <x:c r="E55" s="16"/>
      <x:c r="F55" s="16"/>
      <x:c r="G55" s="16"/>
      <x:c r="H55" s="16"/>
      <x:c r="I55" s="16"/>
      <x:c r="J55" s="16"/>
      <x:c r="K55" s="16"/>
      <x:c r="L55" s="16"/>
      <x:c r="M55" s="16"/>
      <x:c r="N55" s="18" t="str">
        <x:f t="shared" si="0"/>
      </x:c>
      <x:c r="O55" s="16"/>
    </x:row>
    <x:row r="56">
      <x:c r="A56" s="16"/>
      <x:c r="B56" s="16"/>
      <x:c r="C56" s="16"/>
      <x:c r="D56" s="18" t="str">
        <x:f>IFERROR(INDEX('Регистър на риска'!$I:$I,MATCH(A56,'Регистър на риска'!$A:$A,0)),"")</x:f>
      </x:c>
      <x:c r="E56" s="16"/>
      <x:c r="F56" s="16"/>
      <x:c r="G56" s="16"/>
      <x:c r="H56" s="16"/>
      <x:c r="I56" s="16"/>
      <x:c r="J56" s="16"/>
      <x:c r="K56" s="16"/>
      <x:c r="L56" s="16"/>
      <x:c r="M56" s="16"/>
      <x:c r="N56" s="18" t="str">
        <x:f t="shared" si="0"/>
      </x:c>
      <x:c r="O56" s="16"/>
    </x:row>
    <x:row r="57">
      <x:c r="A57" s="16"/>
      <x:c r="B57" s="16"/>
      <x:c r="C57" s="16"/>
      <x:c r="D57" s="18" t="str">
        <x:f>IFERROR(INDEX('Регистър на риска'!$I:$I,MATCH(A57,'Регистър на риска'!$A:$A,0)),"")</x:f>
      </x:c>
      <x:c r="E57" s="16"/>
      <x:c r="F57" s="16"/>
      <x:c r="G57" s="16"/>
      <x:c r="H57" s="16"/>
      <x:c r="I57" s="16"/>
      <x:c r="J57" s="16"/>
      <x:c r="K57" s="16"/>
      <x:c r="L57" s="16"/>
      <x:c r="M57" s="16"/>
      <x:c r="N57" s="18" t="str">
        <x:f t="shared" si="0"/>
      </x:c>
      <x:c r="O57" s="16"/>
    </x:row>
    <x:row r="58">
      <x:c r="A58" s="16"/>
      <x:c r="B58" s="16"/>
      <x:c r="C58" s="16"/>
      <x:c r="D58" s="18" t="str">
        <x:f>IFERROR(INDEX('Регистър на риска'!$I:$I,MATCH(A58,'Регистър на риска'!$A:$A,0)),"")</x:f>
      </x:c>
      <x:c r="E58" s="16"/>
      <x:c r="F58" s="16"/>
      <x:c r="G58" s="16"/>
      <x:c r="H58" s="16"/>
      <x:c r="I58" s="16"/>
      <x:c r="J58" s="16"/>
      <x:c r="K58" s="16"/>
      <x:c r="L58" s="16"/>
      <x:c r="M58" s="16"/>
      <x:c r="N58" s="18" t="str">
        <x:f t="shared" si="0"/>
      </x:c>
      <x:c r="O58" s="16"/>
    </x:row>
    <x:row r="59">
      <x:c r="A59" s="16"/>
      <x:c r="B59" s="16"/>
      <x:c r="C59" s="16"/>
      <x:c r="D59" s="18" t="str">
        <x:f>IFERROR(INDEX('Регистър на риска'!$I:$I,MATCH(A59,'Регистър на риска'!$A:$A,0)),"")</x:f>
      </x:c>
      <x:c r="E59" s="16"/>
      <x:c r="F59" s="16"/>
      <x:c r="G59" s="16"/>
      <x:c r="H59" s="16"/>
      <x:c r="I59" s="16"/>
      <x:c r="J59" s="16"/>
      <x:c r="K59" s="16"/>
      <x:c r="L59" s="16"/>
      <x:c r="M59" s="16"/>
      <x:c r="N59" s="18" t="str">
        <x:f t="shared" si="0"/>
      </x:c>
      <x:c r="O59" s="16"/>
    </x:row>
    <x:row r="60">
      <x:c r="A60" s="16"/>
      <x:c r="B60" s="16"/>
      <x:c r="C60" s="16"/>
      <x:c r="D60" s="18" t="str">
        <x:f>IFERROR(INDEX('Регистър на риска'!$I:$I,MATCH(A60,'Регистър на риска'!$A:$A,0)),"")</x:f>
      </x:c>
      <x:c r="E60" s="16"/>
      <x:c r="F60" s="16"/>
      <x:c r="G60" s="16"/>
      <x:c r="H60" s="16"/>
      <x:c r="I60" s="16"/>
      <x:c r="J60" s="16"/>
      <x:c r="K60" s="16"/>
      <x:c r="L60" s="16"/>
      <x:c r="M60" s="16"/>
      <x:c r="N60" s="18" t="str">
        <x:f t="shared" si="0"/>
      </x:c>
      <x:c r="O60" s="16"/>
    </x:row>
    <x:row r="61">
      <x:c r="A61" s="16"/>
      <x:c r="B61" s="16"/>
      <x:c r="C61" s="16"/>
      <x:c r="D61" s="18" t="str">
        <x:f>IFERROR(INDEX('Регистър на риска'!$I:$I,MATCH(A61,'Регистър на риска'!$A:$A,0)),"")</x:f>
      </x:c>
      <x:c r="E61" s="16"/>
      <x:c r="F61" s="16"/>
      <x:c r="G61" s="16"/>
      <x:c r="H61" s="16"/>
      <x:c r="I61" s="16"/>
      <x:c r="J61" s="16"/>
      <x:c r="K61" s="16"/>
      <x:c r="L61" s="16"/>
      <x:c r="M61" s="16"/>
      <x:c r="N61" s="18" t="str">
        <x:f t="shared" si="0"/>
      </x:c>
      <x:c r="O61" s="16"/>
    </x:row>
    <x:row r="62">
      <x:c r="A62" s="16"/>
      <x:c r="B62" s="16"/>
      <x:c r="C62" s="16"/>
      <x:c r="D62" s="18" t="str">
        <x:f>IFERROR(INDEX('Регистър на риска'!$I:$I,MATCH(A62,'Регистър на риска'!$A:$A,0)),"")</x:f>
      </x:c>
      <x:c r="E62" s="16"/>
      <x:c r="F62" s="16"/>
      <x:c r="G62" s="16"/>
      <x:c r="H62" s="16"/>
      <x:c r="I62" s="16"/>
      <x:c r="J62" s="16"/>
      <x:c r="K62" s="16"/>
      <x:c r="L62" s="16"/>
      <x:c r="M62" s="16"/>
      <x:c r="N62" s="18" t="str">
        <x:f t="shared" si="0"/>
      </x:c>
      <x:c r="O62" s="16"/>
    </x:row>
    <x:row r="63">
      <x:c r="A63" s="16"/>
      <x:c r="B63" s="16"/>
      <x:c r="C63" s="16"/>
      <x:c r="D63" s="18" t="str">
        <x:f>IFERROR(INDEX('Регистър на риска'!$I:$I,MATCH(A63,'Регистър на риска'!$A:$A,0)),"")</x:f>
      </x:c>
      <x:c r="E63" s="16"/>
      <x:c r="F63" s="16"/>
      <x:c r="G63" s="16"/>
      <x:c r="H63" s="16"/>
      <x:c r="I63" s="16"/>
      <x:c r="J63" s="16"/>
      <x:c r="K63" s="16"/>
      <x:c r="L63" s="16"/>
      <x:c r="M63" s="16"/>
      <x:c r="N63" s="18" t="str">
        <x:f t="shared" si="0"/>
      </x:c>
      <x:c r="O63" s="16"/>
    </x:row>
    <x:row r="64">
      <x:c r="A64" s="16"/>
      <x:c r="B64" s="16"/>
      <x:c r="C64" s="16"/>
      <x:c r="D64" s="18" t="str">
        <x:f>IFERROR(INDEX('Регистър на риска'!$I:$I,MATCH(A64,'Регистър на риска'!$A:$A,0)),"")</x:f>
      </x:c>
      <x:c r="E64" s="16"/>
      <x:c r="F64" s="16"/>
      <x:c r="G64" s="16"/>
      <x:c r="H64" s="16"/>
      <x:c r="I64" s="16"/>
      <x:c r="J64" s="16"/>
      <x:c r="K64" s="16"/>
      <x:c r="L64" s="16"/>
      <x:c r="M64" s="16"/>
      <x:c r="N64" s="18" t="str">
        <x:f t="shared" si="0"/>
      </x:c>
      <x:c r="O64" s="16"/>
    </x:row>
    <x:row r="65">
      <x:c r="A65" s="16"/>
      <x:c r="B65" s="16"/>
      <x:c r="C65" s="16"/>
      <x:c r="D65" s="18" t="str">
        <x:f>IFERROR(INDEX('Регистър на риска'!$I:$I,MATCH(A65,'Регистър на риска'!$A:$A,0)),"")</x:f>
      </x:c>
      <x:c r="E65" s="16"/>
      <x:c r="F65" s="16"/>
      <x:c r="G65" s="16"/>
      <x:c r="H65" s="16"/>
      <x:c r="I65" s="16"/>
      <x:c r="J65" s="16"/>
      <x:c r="K65" s="16"/>
      <x:c r="L65" s="16"/>
      <x:c r="M65" s="16"/>
      <x:c r="N65" s="18" t="str">
        <x:f t="shared" si="0"/>
      </x:c>
      <x:c r="O65" s="16"/>
    </x:row>
    <x:row r="66">
      <x:c r="A66" s="16"/>
      <x:c r="B66" s="16"/>
      <x:c r="C66" s="16"/>
      <x:c r="D66" s="18" t="str">
        <x:f>IFERROR(INDEX('Регистър на риска'!$I:$I,MATCH(A66,'Регистър на риска'!$A:$A,0)),"")</x:f>
      </x:c>
      <x:c r="E66" s="16"/>
      <x:c r="F66" s="16"/>
      <x:c r="G66" s="16"/>
      <x:c r="H66" s="16"/>
      <x:c r="I66" s="16"/>
      <x:c r="J66" s="16"/>
      <x:c r="K66" s="16"/>
      <x:c r="L66" s="16"/>
      <x:c r="M66" s="16"/>
      <x:c r="N66" s="18" t="str">
        <x:f t="shared" ref="N66:N129" si="1">IF(OR(L66="",M66=""),"",L66*M66)</x:f>
      </x:c>
      <x:c r="O66" s="16"/>
    </x:row>
    <x:row r="67">
      <x:c r="A67" s="16"/>
      <x:c r="B67" s="16"/>
      <x:c r="C67" s="16"/>
      <x:c r="D67" s="18" t="str">
        <x:f>IFERROR(INDEX('Регистър на риска'!$I:$I,MATCH(A67,'Регистър на риска'!$A:$A,0)),"")</x:f>
      </x:c>
      <x:c r="E67" s="16"/>
      <x:c r="F67" s="16"/>
      <x:c r="G67" s="16"/>
      <x:c r="H67" s="16"/>
      <x:c r="I67" s="16"/>
      <x:c r="J67" s="16"/>
      <x:c r="K67" s="16"/>
      <x:c r="L67" s="16"/>
      <x:c r="M67" s="16"/>
      <x:c r="N67" s="18" t="str">
        <x:f t="shared" si="1"/>
      </x:c>
      <x:c r="O67" s="16"/>
    </x:row>
    <x:row r="68">
      <x:c r="A68" s="16"/>
      <x:c r="B68" s="16"/>
      <x:c r="C68" s="16"/>
      <x:c r="D68" s="18" t="str">
        <x:f>IFERROR(INDEX('Регистър на риска'!$I:$I,MATCH(A68,'Регистър на риска'!$A:$A,0)),"")</x:f>
      </x:c>
      <x:c r="E68" s="16"/>
      <x:c r="F68" s="16"/>
      <x:c r="G68" s="16"/>
      <x:c r="H68" s="16"/>
      <x:c r="I68" s="16"/>
      <x:c r="J68" s="16"/>
      <x:c r="K68" s="16"/>
      <x:c r="L68" s="16"/>
      <x:c r="M68" s="16"/>
      <x:c r="N68" s="18" t="str">
        <x:f t="shared" si="1"/>
      </x:c>
      <x:c r="O68" s="16"/>
    </x:row>
    <x:row r="69">
      <x:c r="A69" s="16"/>
      <x:c r="B69" s="16"/>
      <x:c r="C69" s="16"/>
      <x:c r="D69" s="18" t="str">
        <x:f>IFERROR(INDEX('Регистър на риска'!$I:$I,MATCH(A69,'Регистър на риска'!$A:$A,0)),"")</x:f>
      </x:c>
      <x:c r="E69" s="16"/>
      <x:c r="F69" s="16"/>
      <x:c r="G69" s="16"/>
      <x:c r="H69" s="16"/>
      <x:c r="I69" s="16"/>
      <x:c r="J69" s="16"/>
      <x:c r="K69" s="16"/>
      <x:c r="L69" s="16"/>
      <x:c r="M69" s="16"/>
      <x:c r="N69" s="18" t="str">
        <x:f t="shared" si="1"/>
      </x:c>
      <x:c r="O69" s="16"/>
    </x:row>
    <x:row r="70">
      <x:c r="A70" s="16"/>
      <x:c r="B70" s="16"/>
      <x:c r="C70" s="16"/>
      <x:c r="D70" s="18" t="str">
        <x:f>IFERROR(INDEX('Регистър на риска'!$I:$I,MATCH(A70,'Регистър на риска'!$A:$A,0)),"")</x:f>
      </x:c>
      <x:c r="E70" s="16"/>
      <x:c r="F70" s="16"/>
      <x:c r="G70" s="16"/>
      <x:c r="H70" s="16"/>
      <x:c r="I70" s="16"/>
      <x:c r="J70" s="16"/>
      <x:c r="K70" s="16"/>
      <x:c r="L70" s="16"/>
      <x:c r="M70" s="16"/>
      <x:c r="N70" s="18" t="str">
        <x:f t="shared" si="1"/>
      </x:c>
      <x:c r="O70" s="16"/>
    </x:row>
    <x:row r="71">
      <x:c r="A71" s="16"/>
      <x:c r="B71" s="16"/>
      <x:c r="C71" s="16"/>
      <x:c r="D71" s="18" t="str">
        <x:f>IFERROR(INDEX('Регистър на риска'!$I:$I,MATCH(A71,'Регистър на риска'!$A:$A,0)),"")</x:f>
      </x:c>
      <x:c r="E71" s="16"/>
      <x:c r="F71" s="16"/>
      <x:c r="G71" s="16"/>
      <x:c r="H71" s="16"/>
      <x:c r="I71" s="16"/>
      <x:c r="J71" s="16"/>
      <x:c r="K71" s="16"/>
      <x:c r="L71" s="16"/>
      <x:c r="M71" s="16"/>
      <x:c r="N71" s="18" t="str">
        <x:f t="shared" si="1"/>
      </x:c>
      <x:c r="O71" s="16"/>
    </x:row>
    <x:row r="72">
      <x:c r="A72" s="16"/>
      <x:c r="B72" s="16"/>
      <x:c r="C72" s="16"/>
      <x:c r="D72" s="18" t="str">
        <x:f>IFERROR(INDEX('Регистър на риска'!$I:$I,MATCH(A72,'Регистър на риска'!$A:$A,0)),"")</x:f>
      </x:c>
      <x:c r="E72" s="16"/>
      <x:c r="F72" s="16"/>
      <x:c r="G72" s="16"/>
      <x:c r="H72" s="16"/>
      <x:c r="I72" s="16"/>
      <x:c r="J72" s="16"/>
      <x:c r="K72" s="16"/>
      <x:c r="L72" s="16"/>
      <x:c r="M72" s="16"/>
      <x:c r="N72" s="18" t="str">
        <x:f t="shared" si="1"/>
      </x:c>
      <x:c r="O72" s="16"/>
    </x:row>
    <x:row r="73">
      <x:c r="A73" s="16"/>
      <x:c r="B73" s="16"/>
      <x:c r="C73" s="16"/>
      <x:c r="D73" s="18" t="str">
        <x:f>IFERROR(INDEX('Регистър на риска'!$I:$I,MATCH(A73,'Регистър на риска'!$A:$A,0)),"")</x:f>
      </x:c>
      <x:c r="E73" s="16"/>
      <x:c r="F73" s="16"/>
      <x:c r="G73" s="16"/>
      <x:c r="H73" s="16"/>
      <x:c r="I73" s="16"/>
      <x:c r="J73" s="16"/>
      <x:c r="K73" s="16"/>
      <x:c r="L73" s="16"/>
      <x:c r="M73" s="16"/>
      <x:c r="N73" s="18" t="str">
        <x:f t="shared" si="1"/>
      </x:c>
      <x:c r="O73" s="16"/>
    </x:row>
    <x:row r="74">
      <x:c r="A74" s="16"/>
      <x:c r="B74" s="16"/>
      <x:c r="C74" s="16"/>
      <x:c r="D74" s="18" t="str">
        <x:f>IFERROR(INDEX('Регистър на риска'!$I:$I,MATCH(A74,'Регистър на риска'!$A:$A,0)),"")</x:f>
      </x:c>
      <x:c r="E74" s="16"/>
      <x:c r="F74" s="16"/>
      <x:c r="G74" s="16"/>
      <x:c r="H74" s="16"/>
      <x:c r="I74" s="16"/>
      <x:c r="J74" s="16"/>
      <x:c r="K74" s="16"/>
      <x:c r="L74" s="16"/>
      <x:c r="M74" s="16"/>
      <x:c r="N74" s="18" t="str">
        <x:f t="shared" si="1"/>
      </x:c>
      <x:c r="O74" s="16"/>
    </x:row>
    <x:row r="75">
      <x:c r="A75" s="16"/>
      <x:c r="B75" s="16"/>
      <x:c r="C75" s="16"/>
      <x:c r="D75" s="18" t="str">
        <x:f>IFERROR(INDEX('Регистър на риска'!$I:$I,MATCH(A75,'Регистър на риска'!$A:$A,0)),"")</x:f>
      </x:c>
      <x:c r="E75" s="16"/>
      <x:c r="F75" s="16"/>
      <x:c r="G75" s="16"/>
      <x:c r="H75" s="16"/>
      <x:c r="I75" s="16"/>
      <x:c r="J75" s="16"/>
      <x:c r="K75" s="16"/>
      <x:c r="L75" s="16"/>
      <x:c r="M75" s="16"/>
      <x:c r="N75" s="18" t="str">
        <x:f t="shared" si="1"/>
      </x:c>
      <x:c r="O75" s="16"/>
    </x:row>
    <x:row r="76">
      <x:c r="A76" s="16"/>
      <x:c r="B76" s="16"/>
      <x:c r="C76" s="16"/>
      <x:c r="D76" s="18" t="str">
        <x:f>IFERROR(INDEX('Регистър на риска'!$I:$I,MATCH(A76,'Регистър на риска'!$A:$A,0)),"")</x:f>
      </x:c>
      <x:c r="E76" s="16"/>
      <x:c r="F76" s="16"/>
      <x:c r="G76" s="16"/>
      <x:c r="H76" s="16"/>
      <x:c r="I76" s="16"/>
      <x:c r="J76" s="16"/>
      <x:c r="K76" s="16"/>
      <x:c r="L76" s="16"/>
      <x:c r="M76" s="16"/>
      <x:c r="N76" s="18" t="str">
        <x:f t="shared" si="1"/>
      </x:c>
      <x:c r="O76" s="16"/>
    </x:row>
    <x:row r="77">
      <x:c r="A77" s="16"/>
      <x:c r="B77" s="16"/>
      <x:c r="C77" s="16"/>
      <x:c r="D77" s="18" t="str">
        <x:f>IFERROR(INDEX('Регистър на риска'!$I:$I,MATCH(A77,'Регистър на риска'!$A:$A,0)),"")</x:f>
      </x:c>
      <x:c r="E77" s="16"/>
      <x:c r="F77" s="16"/>
      <x:c r="G77" s="16"/>
      <x:c r="H77" s="16"/>
      <x:c r="I77" s="16"/>
      <x:c r="J77" s="16"/>
      <x:c r="K77" s="16"/>
      <x:c r="L77" s="16"/>
      <x:c r="M77" s="16"/>
      <x:c r="N77" s="18" t="str">
        <x:f t="shared" si="1"/>
      </x:c>
      <x:c r="O77" s="16"/>
    </x:row>
    <x:row r="78">
      <x:c r="A78" s="16"/>
      <x:c r="B78" s="16"/>
      <x:c r="C78" s="16"/>
      <x:c r="D78" s="18" t="str">
        <x:f>IFERROR(INDEX('Регистър на риска'!$I:$I,MATCH(A78,'Регистър на риска'!$A:$A,0)),"")</x:f>
      </x:c>
      <x:c r="E78" s="16"/>
      <x:c r="F78" s="16"/>
      <x:c r="G78" s="16"/>
      <x:c r="H78" s="16"/>
      <x:c r="I78" s="16"/>
      <x:c r="J78" s="16"/>
      <x:c r="K78" s="16"/>
      <x:c r="L78" s="16"/>
      <x:c r="M78" s="16"/>
      <x:c r="N78" s="18" t="str">
        <x:f t="shared" si="1"/>
      </x:c>
      <x:c r="O78" s="16"/>
    </x:row>
    <x:row r="79">
      <x:c r="A79" s="16"/>
      <x:c r="B79" s="16"/>
      <x:c r="C79" s="16"/>
      <x:c r="D79" s="18" t="str">
        <x:f>IFERROR(INDEX('Регистър на риска'!$I:$I,MATCH(A79,'Регистър на риска'!$A:$A,0)),"")</x:f>
      </x:c>
      <x:c r="E79" s="16"/>
      <x:c r="F79" s="16"/>
      <x:c r="G79" s="16"/>
      <x:c r="H79" s="16"/>
      <x:c r="I79" s="16"/>
      <x:c r="J79" s="16"/>
      <x:c r="K79" s="16"/>
      <x:c r="L79" s="16"/>
      <x:c r="M79" s="16"/>
      <x:c r="N79" s="18" t="str">
        <x:f t="shared" si="1"/>
      </x:c>
      <x:c r="O79" s="16"/>
    </x:row>
    <x:row r="80">
      <x:c r="A80" s="16"/>
      <x:c r="B80" s="16"/>
      <x:c r="C80" s="16"/>
      <x:c r="D80" s="18" t="str">
        <x:f>IFERROR(INDEX('Регистър на риска'!$I:$I,MATCH(A80,'Регистър на риска'!$A:$A,0)),"")</x:f>
      </x:c>
      <x:c r="E80" s="16"/>
      <x:c r="F80" s="16"/>
      <x:c r="G80" s="16"/>
      <x:c r="H80" s="16"/>
      <x:c r="I80" s="16"/>
      <x:c r="J80" s="16"/>
      <x:c r="K80" s="16"/>
      <x:c r="L80" s="16"/>
      <x:c r="M80" s="16"/>
      <x:c r="N80" s="18" t="str">
        <x:f t="shared" si="1"/>
      </x:c>
      <x:c r="O80" s="16"/>
    </x:row>
    <x:row r="81">
      <x:c r="A81" s="16"/>
      <x:c r="B81" s="16"/>
      <x:c r="C81" s="16"/>
      <x:c r="D81" s="18" t="str">
        <x:f>IFERROR(INDEX('Регистър на риска'!$I:$I,MATCH(A81,'Регистър на риска'!$A:$A,0)),"")</x:f>
      </x:c>
      <x:c r="E81" s="16"/>
      <x:c r="F81" s="16"/>
      <x:c r="G81" s="16"/>
      <x:c r="H81" s="16"/>
      <x:c r="I81" s="16"/>
      <x:c r="J81" s="16"/>
      <x:c r="K81" s="16"/>
      <x:c r="L81" s="16"/>
      <x:c r="M81" s="16"/>
      <x:c r="N81" s="18" t="str">
        <x:f t="shared" si="1"/>
      </x:c>
      <x:c r="O81" s="16"/>
    </x:row>
    <x:row r="82">
      <x:c r="A82" s="16"/>
      <x:c r="B82" s="16"/>
      <x:c r="C82" s="16"/>
      <x:c r="D82" s="18" t="str">
        <x:f>IFERROR(INDEX('Регистър на риска'!$I:$I,MATCH(A82,'Регистър на риска'!$A:$A,0)),"")</x:f>
      </x:c>
      <x:c r="E82" s="16"/>
      <x:c r="F82" s="16"/>
      <x:c r="G82" s="16"/>
      <x:c r="H82" s="16"/>
      <x:c r="I82" s="16"/>
      <x:c r="J82" s="16"/>
      <x:c r="K82" s="16"/>
      <x:c r="L82" s="16"/>
      <x:c r="M82" s="16"/>
      <x:c r="N82" s="18" t="str">
        <x:f t="shared" si="1"/>
      </x:c>
      <x:c r="O82" s="16"/>
    </x:row>
    <x:row r="83">
      <x:c r="A83" s="16"/>
      <x:c r="B83" s="16"/>
      <x:c r="C83" s="16"/>
      <x:c r="D83" s="18" t="str">
        <x:f>IFERROR(INDEX('Регистър на риска'!$I:$I,MATCH(A83,'Регистър на риска'!$A:$A,0)),"")</x:f>
      </x:c>
      <x:c r="E83" s="16"/>
      <x:c r="F83" s="16"/>
      <x:c r="G83" s="16"/>
      <x:c r="H83" s="16"/>
      <x:c r="I83" s="16"/>
      <x:c r="J83" s="16"/>
      <x:c r="K83" s="16"/>
      <x:c r="L83" s="16"/>
      <x:c r="M83" s="16"/>
      <x:c r="N83" s="18" t="str">
        <x:f t="shared" si="1"/>
      </x:c>
      <x:c r="O83" s="16"/>
    </x:row>
    <x:row r="84">
      <x:c r="A84" s="16"/>
      <x:c r="B84" s="16"/>
      <x:c r="C84" s="16"/>
      <x:c r="D84" s="18" t="str">
        <x:f>IFERROR(INDEX('Регистър на риска'!$I:$I,MATCH(A84,'Регистър на риска'!$A:$A,0)),"")</x:f>
      </x:c>
      <x:c r="E84" s="16"/>
      <x:c r="F84" s="16"/>
      <x:c r="G84" s="16"/>
      <x:c r="H84" s="16"/>
      <x:c r="I84" s="16"/>
      <x:c r="J84" s="16"/>
      <x:c r="K84" s="16"/>
      <x:c r="L84" s="16"/>
      <x:c r="M84" s="16"/>
      <x:c r="N84" s="18" t="str">
        <x:f t="shared" si="1"/>
      </x:c>
      <x:c r="O84" s="16"/>
    </x:row>
    <x:row r="85">
      <x:c r="A85" s="16"/>
      <x:c r="B85" s="16"/>
      <x:c r="C85" s="16"/>
      <x:c r="D85" s="18" t="str">
        <x:f>IFERROR(INDEX('Регистър на риска'!$I:$I,MATCH(A85,'Регистър на риска'!$A:$A,0)),"")</x:f>
      </x:c>
      <x:c r="E85" s="16"/>
      <x:c r="F85" s="16"/>
      <x:c r="G85" s="16"/>
      <x:c r="H85" s="16"/>
      <x:c r="I85" s="16"/>
      <x:c r="J85" s="16"/>
      <x:c r="K85" s="16"/>
      <x:c r="L85" s="16"/>
      <x:c r="M85" s="16"/>
      <x:c r="N85" s="18" t="str">
        <x:f t="shared" si="1"/>
      </x:c>
      <x:c r="O85" s="16"/>
    </x:row>
    <x:row r="86">
      <x:c r="A86" s="16"/>
      <x:c r="B86" s="16"/>
      <x:c r="C86" s="16"/>
      <x:c r="D86" s="18" t="str">
        <x:f>IFERROR(INDEX('Регистър на риска'!$I:$I,MATCH(A86,'Регистър на риска'!$A:$A,0)),"")</x:f>
      </x:c>
      <x:c r="E86" s="16"/>
      <x:c r="F86" s="16"/>
      <x:c r="G86" s="16"/>
      <x:c r="H86" s="16"/>
      <x:c r="I86" s="16"/>
      <x:c r="J86" s="16"/>
      <x:c r="K86" s="16"/>
      <x:c r="L86" s="16"/>
      <x:c r="M86" s="16"/>
      <x:c r="N86" s="18" t="str">
        <x:f t="shared" si="1"/>
      </x:c>
      <x:c r="O86" s="16"/>
    </x:row>
    <x:row r="87">
      <x:c r="A87" s="16"/>
      <x:c r="B87" s="16"/>
      <x:c r="C87" s="16"/>
      <x:c r="D87" s="18" t="str">
        <x:f>IFERROR(INDEX('Регистър на риска'!$I:$I,MATCH(A87,'Регистър на риска'!$A:$A,0)),"")</x:f>
      </x:c>
      <x:c r="E87" s="16"/>
      <x:c r="F87" s="16"/>
      <x:c r="G87" s="16"/>
      <x:c r="H87" s="16"/>
      <x:c r="I87" s="16"/>
      <x:c r="J87" s="16"/>
      <x:c r="K87" s="16"/>
      <x:c r="L87" s="16"/>
      <x:c r="M87" s="16"/>
      <x:c r="N87" s="18" t="str">
        <x:f t="shared" si="1"/>
      </x:c>
      <x:c r="O87" s="16"/>
    </x:row>
    <x:row r="88">
      <x:c r="A88" s="16"/>
      <x:c r="B88" s="16"/>
      <x:c r="C88" s="16"/>
      <x:c r="D88" s="18" t="str">
        <x:f>IFERROR(INDEX('Регистър на риска'!$I:$I,MATCH(A88,'Регистър на риска'!$A:$A,0)),"")</x:f>
      </x:c>
      <x:c r="E88" s="16"/>
      <x:c r="F88" s="16"/>
      <x:c r="G88" s="16"/>
      <x:c r="H88" s="16"/>
      <x:c r="I88" s="16"/>
      <x:c r="J88" s="16"/>
      <x:c r="K88" s="16"/>
      <x:c r="L88" s="16"/>
      <x:c r="M88" s="16"/>
      <x:c r="N88" s="18" t="str">
        <x:f t="shared" si="1"/>
      </x:c>
      <x:c r="O88" s="16"/>
    </x:row>
    <x:row r="89">
      <x:c r="A89" s="16"/>
      <x:c r="B89" s="16"/>
      <x:c r="C89" s="16"/>
      <x:c r="D89" s="18" t="str">
        <x:f>IFERROR(INDEX('Регистър на риска'!$I:$I,MATCH(A89,'Регистър на риска'!$A:$A,0)),"")</x:f>
      </x:c>
      <x:c r="E89" s="16"/>
      <x:c r="F89" s="16"/>
      <x:c r="G89" s="16"/>
      <x:c r="H89" s="16"/>
      <x:c r="I89" s="16"/>
      <x:c r="J89" s="16"/>
      <x:c r="K89" s="16"/>
      <x:c r="L89" s="16"/>
      <x:c r="M89" s="16"/>
      <x:c r="N89" s="18" t="str">
        <x:f t="shared" si="1"/>
      </x:c>
      <x:c r="O89" s="16"/>
    </x:row>
    <x:row r="90">
      <x:c r="A90" s="16"/>
      <x:c r="B90" s="16"/>
      <x:c r="C90" s="16"/>
      <x:c r="D90" s="18" t="str">
        <x:f>IFERROR(INDEX('Регистър на риска'!$I:$I,MATCH(A90,'Регистър на риска'!$A:$A,0)),"")</x:f>
      </x:c>
      <x:c r="E90" s="16"/>
      <x:c r="F90" s="16"/>
      <x:c r="G90" s="16"/>
      <x:c r="H90" s="16"/>
      <x:c r="I90" s="16"/>
      <x:c r="J90" s="16"/>
      <x:c r="K90" s="16"/>
      <x:c r="L90" s="16"/>
      <x:c r="M90" s="16"/>
      <x:c r="N90" s="18" t="str">
        <x:f t="shared" si="1"/>
      </x:c>
      <x:c r="O90" s="16"/>
    </x:row>
    <x:row r="91">
      <x:c r="A91" s="16"/>
      <x:c r="B91" s="16"/>
      <x:c r="C91" s="16"/>
      <x:c r="D91" s="18" t="str">
        <x:f>IFERROR(INDEX('Регистър на риска'!$I:$I,MATCH(A91,'Регистър на риска'!$A:$A,0)),"")</x:f>
      </x:c>
      <x:c r="E91" s="16"/>
      <x:c r="F91" s="16"/>
      <x:c r="G91" s="16"/>
      <x:c r="H91" s="16"/>
      <x:c r="I91" s="16"/>
      <x:c r="J91" s="16"/>
      <x:c r="K91" s="16"/>
      <x:c r="L91" s="16"/>
      <x:c r="M91" s="16"/>
      <x:c r="N91" s="18" t="str">
        <x:f t="shared" si="1"/>
      </x:c>
      <x:c r="O91" s="16"/>
    </x:row>
    <x:row r="92">
      <x:c r="A92" s="16"/>
      <x:c r="B92" s="16"/>
      <x:c r="C92" s="16"/>
      <x:c r="D92" s="18" t="str">
        <x:f>IFERROR(INDEX('Регистър на риска'!$I:$I,MATCH(A92,'Регистър на риска'!$A:$A,0)),"")</x:f>
      </x:c>
      <x:c r="E92" s="16"/>
      <x:c r="F92" s="16"/>
      <x:c r="G92" s="16"/>
      <x:c r="H92" s="16"/>
      <x:c r="I92" s="16"/>
      <x:c r="J92" s="16"/>
      <x:c r="K92" s="16"/>
      <x:c r="L92" s="16"/>
      <x:c r="M92" s="16"/>
      <x:c r="N92" s="18" t="str">
        <x:f t="shared" si="1"/>
      </x:c>
      <x:c r="O92" s="16"/>
    </x:row>
    <x:row r="93">
      <x:c r="A93" s="16"/>
      <x:c r="B93" s="16"/>
      <x:c r="C93" s="16"/>
      <x:c r="D93" s="18" t="str">
        <x:f>IFERROR(INDEX('Регистър на риска'!$I:$I,MATCH(A93,'Регистър на риска'!$A:$A,0)),"")</x:f>
      </x:c>
      <x:c r="E93" s="16"/>
      <x:c r="F93" s="16"/>
      <x:c r="G93" s="16"/>
      <x:c r="H93" s="16"/>
      <x:c r="I93" s="16"/>
      <x:c r="J93" s="16"/>
      <x:c r="K93" s="16"/>
      <x:c r="L93" s="16"/>
      <x:c r="M93" s="16"/>
      <x:c r="N93" s="18" t="str">
        <x:f t="shared" si="1"/>
      </x:c>
      <x:c r="O93" s="16"/>
    </x:row>
    <x:row r="94">
      <x:c r="A94" s="16"/>
      <x:c r="B94" s="16"/>
      <x:c r="C94" s="16"/>
      <x:c r="D94" s="18" t="str">
        <x:f>IFERROR(INDEX('Регистър на риска'!$I:$I,MATCH(A94,'Регистър на риска'!$A:$A,0)),"")</x:f>
      </x:c>
      <x:c r="E94" s="16"/>
      <x:c r="F94" s="16"/>
      <x:c r="G94" s="16"/>
      <x:c r="H94" s="16"/>
      <x:c r="I94" s="16"/>
      <x:c r="J94" s="16"/>
      <x:c r="K94" s="16"/>
      <x:c r="L94" s="16"/>
      <x:c r="M94" s="16"/>
      <x:c r="N94" s="18" t="str">
        <x:f t="shared" si="1"/>
      </x:c>
      <x:c r="O94" s="16"/>
    </x:row>
    <x:row r="95">
      <x:c r="A95" s="16"/>
      <x:c r="B95" s="16"/>
      <x:c r="C95" s="16"/>
      <x:c r="D95" s="18" t="str">
        <x:f>IFERROR(INDEX('Регистър на риска'!$I:$I,MATCH(A95,'Регистър на риска'!$A:$A,0)),"")</x:f>
      </x:c>
      <x:c r="E95" s="16"/>
      <x:c r="F95" s="16"/>
      <x:c r="G95" s="16"/>
      <x:c r="H95" s="16"/>
      <x:c r="I95" s="16"/>
      <x:c r="J95" s="16"/>
      <x:c r="K95" s="16"/>
      <x:c r="L95" s="16"/>
      <x:c r="M95" s="16"/>
      <x:c r="N95" s="18" t="str">
        <x:f t="shared" si="1"/>
      </x:c>
      <x:c r="O95" s="16"/>
    </x:row>
    <x:row r="96">
      <x:c r="A96" s="16"/>
      <x:c r="B96" s="16"/>
      <x:c r="C96" s="16"/>
      <x:c r="D96" s="18" t="str">
        <x:f>IFERROR(INDEX('Регистър на риска'!$I:$I,MATCH(A96,'Регистър на риска'!$A:$A,0)),"")</x:f>
      </x:c>
      <x:c r="E96" s="16"/>
      <x:c r="F96" s="16"/>
      <x:c r="G96" s="16"/>
      <x:c r="H96" s="16"/>
      <x:c r="I96" s="16"/>
      <x:c r="J96" s="16"/>
      <x:c r="K96" s="16"/>
      <x:c r="L96" s="16"/>
      <x:c r="M96" s="16"/>
      <x:c r="N96" s="18" t="str">
        <x:f t="shared" si="1"/>
      </x:c>
      <x:c r="O96" s="16"/>
    </x:row>
    <x:row r="97">
      <x:c r="A97" s="16"/>
      <x:c r="B97" s="16"/>
      <x:c r="C97" s="16"/>
      <x:c r="D97" s="18" t="str">
        <x:f>IFERROR(INDEX('Регистър на риска'!$I:$I,MATCH(A97,'Регистър на риска'!$A:$A,0)),"")</x:f>
      </x:c>
      <x:c r="E97" s="16"/>
      <x:c r="F97" s="16"/>
      <x:c r="G97" s="16"/>
      <x:c r="H97" s="16"/>
      <x:c r="I97" s="16"/>
      <x:c r="J97" s="16"/>
      <x:c r="K97" s="16"/>
      <x:c r="L97" s="16"/>
      <x:c r="M97" s="16"/>
      <x:c r="N97" s="18" t="str">
        <x:f t="shared" si="1"/>
      </x:c>
      <x:c r="O97" s="16"/>
    </x:row>
    <x:row r="98">
      <x:c r="A98" s="16"/>
      <x:c r="B98" s="16"/>
      <x:c r="C98" s="16"/>
      <x:c r="D98" s="18" t="str">
        <x:f>IFERROR(INDEX('Регистър на риска'!$I:$I,MATCH(A98,'Регистър на риска'!$A:$A,0)),"")</x:f>
      </x:c>
      <x:c r="E98" s="16"/>
      <x:c r="F98" s="16"/>
      <x:c r="G98" s="16"/>
      <x:c r="H98" s="16"/>
      <x:c r="I98" s="16"/>
      <x:c r="J98" s="16"/>
      <x:c r="K98" s="16"/>
      <x:c r="L98" s="16"/>
      <x:c r="M98" s="16"/>
      <x:c r="N98" s="18" t="str">
        <x:f t="shared" si="1"/>
      </x:c>
      <x:c r="O98" s="16"/>
    </x:row>
    <x:row r="99">
      <x:c r="A99" s="16"/>
      <x:c r="B99" s="16"/>
      <x:c r="C99" s="16"/>
      <x:c r="D99" s="18" t="str">
        <x:f>IFERROR(INDEX('Регистър на риска'!$I:$I,MATCH(A99,'Регистър на риска'!$A:$A,0)),"")</x:f>
      </x:c>
      <x:c r="E99" s="16"/>
      <x:c r="F99" s="16"/>
      <x:c r="G99" s="16"/>
      <x:c r="H99" s="16"/>
      <x:c r="I99" s="16"/>
      <x:c r="J99" s="16"/>
      <x:c r="K99" s="16"/>
      <x:c r="L99" s="16"/>
      <x:c r="M99" s="16"/>
      <x:c r="N99" s="18" t="str">
        <x:f t="shared" si="1"/>
      </x:c>
      <x:c r="O99" s="16"/>
    </x:row>
    <x:row r="100">
      <x:c r="A100" s="16"/>
      <x:c r="B100" s="16"/>
      <x:c r="C100" s="16"/>
      <x:c r="D100" s="18" t="str">
        <x:f>IFERROR(INDEX('Регистър на риска'!$I:$I,MATCH(A100,'Регистър на риска'!$A:$A,0)),"")</x:f>
      </x:c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8" t="str">
        <x:f t="shared" si="1"/>
      </x:c>
      <x:c r="O100" s="16"/>
    </x:row>
    <x:row r="101">
      <x:c r="A101" s="16"/>
      <x:c r="B101" s="16"/>
      <x:c r="C101" s="16"/>
      <x:c r="D101" s="18" t="str">
        <x:f>IFERROR(INDEX('Регистър на риска'!$I:$I,MATCH(A101,'Регистър на риска'!$A:$A,0)),"")</x:f>
      </x:c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8" t="str">
        <x:f t="shared" si="1"/>
      </x:c>
      <x:c r="O101" s="16"/>
    </x:row>
    <x:row r="102">
      <x:c r="A102" s="16"/>
      <x:c r="B102" s="16"/>
      <x:c r="C102" s="16"/>
      <x:c r="D102" s="18" t="str">
        <x:f>IFERROR(INDEX('Регистър на риска'!$I:$I,MATCH(A102,'Регистър на риска'!$A:$A,0)),"")</x:f>
      </x:c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8" t="str">
        <x:f t="shared" si="1"/>
      </x:c>
      <x:c r="O102" s="16"/>
    </x:row>
    <x:row r="103">
      <x:c r="A103" s="16"/>
      <x:c r="B103" s="16"/>
      <x:c r="C103" s="16"/>
      <x:c r="D103" s="18" t="str">
        <x:f>IFERROR(INDEX('Регистър на риска'!$I:$I,MATCH(A103,'Регистър на риска'!$A:$A,0)),"")</x:f>
      </x:c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8" t="str">
        <x:f t="shared" si="1"/>
      </x:c>
      <x:c r="O103" s="16"/>
    </x:row>
    <x:row r="104">
      <x:c r="A104" s="16"/>
      <x:c r="B104" s="16"/>
      <x:c r="C104" s="16"/>
      <x:c r="D104" s="18" t="str">
        <x:f>IFERROR(INDEX('Регистър на риска'!$I:$I,MATCH(A104,'Регистър на риска'!$A:$A,0)),"")</x:f>
      </x:c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8" t="str">
        <x:f t="shared" si="1"/>
      </x:c>
      <x:c r="O104" s="16"/>
    </x:row>
    <x:row r="105">
      <x:c r="A105" s="16"/>
      <x:c r="B105" s="16"/>
      <x:c r="C105" s="16"/>
      <x:c r="D105" s="18" t="str">
        <x:f>IFERROR(INDEX('Регистър на риска'!$I:$I,MATCH(A105,'Регистър на риска'!$A:$A,0)),"")</x:f>
      </x:c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8" t="str">
        <x:f t="shared" si="1"/>
      </x:c>
      <x:c r="O105" s="16"/>
    </x:row>
    <x:row r="106">
      <x:c r="A106" s="16"/>
      <x:c r="B106" s="16"/>
      <x:c r="C106" s="16"/>
      <x:c r="D106" s="18" t="str">
        <x:f>IFERROR(INDEX('Регистър на риска'!$I:$I,MATCH(A106,'Регистър на риска'!$A:$A,0)),"")</x:f>
      </x:c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8" t="str">
        <x:f t="shared" si="1"/>
      </x:c>
      <x:c r="O106" s="16"/>
    </x:row>
    <x:row r="107">
      <x:c r="A107" s="16"/>
      <x:c r="B107" s="16"/>
      <x:c r="C107" s="16"/>
      <x:c r="D107" s="18" t="str">
        <x:f>IFERROR(INDEX('Регистър на риска'!$I:$I,MATCH(A107,'Регистър на риска'!$A:$A,0)),"")</x:f>
      </x:c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8" t="str">
        <x:f t="shared" si="1"/>
      </x:c>
      <x:c r="O107" s="16"/>
    </x:row>
    <x:row r="108">
      <x:c r="A108" s="16"/>
      <x:c r="B108" s="16"/>
      <x:c r="C108" s="16"/>
      <x:c r="D108" s="18" t="str">
        <x:f>IFERROR(INDEX('Регистър на риска'!$I:$I,MATCH(A108,'Регистър на риска'!$A:$A,0)),"")</x:f>
      </x:c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8" t="str">
        <x:f t="shared" si="1"/>
      </x:c>
      <x:c r="O108" s="16"/>
    </x:row>
    <x:row r="109">
      <x:c r="A109" s="16"/>
      <x:c r="B109" s="16"/>
      <x:c r="C109" s="16"/>
      <x:c r="D109" s="18" t="str">
        <x:f>IFERROR(INDEX('Регистър на риска'!$I:$I,MATCH(A109,'Регистър на риска'!$A:$A,0)),"")</x:f>
      </x:c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8" t="str">
        <x:f t="shared" si="1"/>
      </x:c>
      <x:c r="O109" s="16"/>
    </x:row>
    <x:row r="110">
      <x:c r="A110" s="16"/>
      <x:c r="B110" s="16"/>
      <x:c r="C110" s="16"/>
      <x:c r="D110" s="18" t="str">
        <x:f>IFERROR(INDEX('Регистър на риска'!$I:$I,MATCH(A110,'Регистър на риска'!$A:$A,0)),"")</x:f>
      </x:c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8" t="str">
        <x:f t="shared" si="1"/>
      </x:c>
      <x:c r="O110" s="16"/>
    </x:row>
    <x:row r="111">
      <x:c r="A111" s="16"/>
      <x:c r="B111" s="16"/>
      <x:c r="C111" s="16"/>
      <x:c r="D111" s="18" t="str">
        <x:f>IFERROR(INDEX('Регистър на риска'!$I:$I,MATCH(A111,'Регистър на риска'!$A:$A,0)),"")</x:f>
      </x:c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8" t="str">
        <x:f t="shared" si="1"/>
      </x:c>
      <x:c r="O111" s="16"/>
    </x:row>
    <x:row r="112">
      <x:c r="A112" s="16"/>
      <x:c r="B112" s="16"/>
      <x:c r="C112" s="16"/>
      <x:c r="D112" s="18" t="str">
        <x:f>IFERROR(INDEX('Регистър на риска'!$I:$I,MATCH(A112,'Регистър на риска'!$A:$A,0)),"")</x:f>
      </x:c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8" t="str">
        <x:f t="shared" si="1"/>
      </x:c>
      <x:c r="O112" s="16"/>
    </x:row>
    <x:row r="113">
      <x:c r="A113" s="16"/>
      <x:c r="B113" s="16"/>
      <x:c r="C113" s="16"/>
      <x:c r="D113" s="18" t="str">
        <x:f>IFERROR(INDEX('Регистър на риска'!$I:$I,MATCH(A113,'Регистър на риска'!$A:$A,0)),"")</x:f>
      </x:c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8" t="str">
        <x:f t="shared" si="1"/>
      </x:c>
      <x:c r="O113" s="16"/>
    </x:row>
    <x:row r="114">
      <x:c r="A114" s="16"/>
      <x:c r="B114" s="16"/>
      <x:c r="C114" s="16"/>
      <x:c r="D114" s="18" t="str">
        <x:f>IFERROR(INDEX('Регистър на риска'!$I:$I,MATCH(A114,'Регистър на риска'!$A:$A,0)),"")</x:f>
      </x:c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8" t="str">
        <x:f t="shared" si="1"/>
      </x:c>
      <x:c r="O114" s="16"/>
    </x:row>
    <x:row r="115">
      <x:c r="A115" s="16"/>
      <x:c r="B115" s="16"/>
      <x:c r="C115" s="16"/>
      <x:c r="D115" s="18" t="str">
        <x:f>IFERROR(INDEX('Регистър на риска'!$I:$I,MATCH(A115,'Регистър на риска'!$A:$A,0)),"")</x:f>
      </x:c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8" t="str">
        <x:f t="shared" si="1"/>
      </x:c>
      <x:c r="O115" s="16"/>
    </x:row>
    <x:row r="116">
      <x:c r="A116" s="16"/>
      <x:c r="B116" s="16"/>
      <x:c r="C116" s="16"/>
      <x:c r="D116" s="18" t="str">
        <x:f>IFERROR(INDEX('Регистър на риска'!$I:$I,MATCH(A116,'Регистър на риска'!$A:$A,0)),"")</x:f>
      </x:c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8" t="str">
        <x:f t="shared" si="1"/>
      </x:c>
      <x:c r="O116" s="16"/>
    </x:row>
    <x:row r="117">
      <x:c r="A117" s="16"/>
      <x:c r="B117" s="16"/>
      <x:c r="C117" s="16"/>
      <x:c r="D117" s="18" t="str">
        <x:f>IFERROR(INDEX('Регистър на риска'!$I:$I,MATCH(A117,'Регистър на риска'!$A:$A,0)),"")</x:f>
      </x:c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8" t="str">
        <x:f t="shared" si="1"/>
      </x:c>
      <x:c r="O117" s="16"/>
    </x:row>
    <x:row r="118">
      <x:c r="A118" s="16"/>
      <x:c r="B118" s="16"/>
      <x:c r="C118" s="16"/>
      <x:c r="D118" s="18" t="str">
        <x:f>IFERROR(INDEX('Регистър на риска'!$I:$I,MATCH(A118,'Регистър на риска'!$A:$A,0)),"")</x:f>
      </x:c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8" t="str">
        <x:f t="shared" si="1"/>
      </x:c>
      <x:c r="O118" s="16"/>
    </x:row>
    <x:row r="119">
      <x:c r="A119" s="16"/>
      <x:c r="B119" s="16"/>
      <x:c r="C119" s="16"/>
      <x:c r="D119" s="18" t="str">
        <x:f>IFERROR(INDEX('Регистър на риска'!$I:$I,MATCH(A119,'Регистър на риска'!$A:$A,0)),"")</x:f>
      </x:c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8" t="str">
        <x:f t="shared" si="1"/>
      </x:c>
      <x:c r="O119" s="16"/>
    </x:row>
    <x:row r="120">
      <x:c r="A120" s="16"/>
      <x:c r="B120" s="16"/>
      <x:c r="C120" s="16"/>
      <x:c r="D120" s="18" t="str">
        <x:f>IFERROR(INDEX('Регистър на риска'!$I:$I,MATCH(A120,'Регистър на риска'!$A:$A,0)),"")</x:f>
      </x:c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8" t="str">
        <x:f t="shared" si="1"/>
      </x:c>
      <x:c r="O120" s="16"/>
    </x:row>
    <x:row r="121">
      <x:c r="A121" s="16"/>
      <x:c r="B121" s="16"/>
      <x:c r="C121" s="16"/>
      <x:c r="D121" s="18" t="str">
        <x:f>IFERROR(INDEX('Регистър на риска'!$I:$I,MATCH(A121,'Регистър на риска'!$A:$A,0)),"")</x:f>
      </x:c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8" t="str">
        <x:f t="shared" si="1"/>
      </x:c>
      <x:c r="O121" s="16"/>
    </x:row>
    <x:row r="122">
      <x:c r="A122" s="16"/>
      <x:c r="B122" s="16"/>
      <x:c r="C122" s="16"/>
      <x:c r="D122" s="18" t="str">
        <x:f>IFERROR(INDEX('Регистър на риска'!$I:$I,MATCH(A122,'Регистър на риска'!$A:$A,0)),"")</x:f>
      </x:c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8" t="str">
        <x:f t="shared" si="1"/>
      </x:c>
      <x:c r="O122" s="16"/>
    </x:row>
    <x:row r="123">
      <x:c r="A123" s="16"/>
      <x:c r="B123" s="16"/>
      <x:c r="C123" s="16"/>
      <x:c r="D123" s="18" t="str">
        <x:f>IFERROR(INDEX('Регистър на риска'!$I:$I,MATCH(A123,'Регистър на риска'!$A:$A,0)),"")</x:f>
      </x:c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8" t="str">
        <x:f t="shared" si="1"/>
      </x:c>
      <x:c r="O123" s="16"/>
    </x:row>
    <x:row r="124">
      <x:c r="A124" s="16"/>
      <x:c r="B124" s="16"/>
      <x:c r="C124" s="16"/>
      <x:c r="D124" s="18" t="str">
        <x:f>IFERROR(INDEX('Регистър на риска'!$I:$I,MATCH(A124,'Регистър на риска'!$A:$A,0)),"")</x:f>
      </x:c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8" t="str">
        <x:f t="shared" si="1"/>
      </x:c>
      <x:c r="O124" s="16"/>
    </x:row>
    <x:row r="125">
      <x:c r="A125" s="16"/>
      <x:c r="B125" s="16"/>
      <x:c r="C125" s="16"/>
      <x:c r="D125" s="18" t="str">
        <x:f>IFERROR(INDEX('Регистър на риска'!$I:$I,MATCH(A125,'Регистър на риска'!$A:$A,0)),"")</x:f>
      </x:c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8" t="str">
        <x:f t="shared" si="1"/>
      </x:c>
      <x:c r="O125" s="16"/>
    </x:row>
    <x:row r="126">
      <x:c r="A126" s="16"/>
      <x:c r="B126" s="16"/>
      <x:c r="C126" s="16"/>
      <x:c r="D126" s="18" t="str">
        <x:f>IFERROR(INDEX('Регистър на риска'!$I:$I,MATCH(A126,'Регистър на риска'!$A:$A,0)),"")</x:f>
      </x:c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8" t="str">
        <x:f t="shared" si="1"/>
      </x:c>
      <x:c r="O126" s="16"/>
    </x:row>
    <x:row r="127">
      <x:c r="A127" s="16"/>
      <x:c r="B127" s="16"/>
      <x:c r="C127" s="16"/>
      <x:c r="D127" s="18" t="str">
        <x:f>IFERROR(INDEX('Регистър на риска'!$I:$I,MATCH(A127,'Регистър на риска'!$A:$A,0)),"")</x:f>
      </x:c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8" t="str">
        <x:f t="shared" si="1"/>
      </x:c>
      <x:c r="O127" s="16"/>
    </x:row>
    <x:row r="128">
      <x:c r="A128" s="16"/>
      <x:c r="B128" s="16"/>
      <x:c r="C128" s="16"/>
      <x:c r="D128" s="18" t="str">
        <x:f>IFERROR(INDEX('Регистър на риска'!$I:$I,MATCH(A128,'Регистър на риска'!$A:$A,0)),"")</x:f>
      </x:c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8" t="str">
        <x:f t="shared" si="1"/>
      </x:c>
      <x:c r="O128" s="16"/>
    </x:row>
    <x:row r="129">
      <x:c r="A129" s="16"/>
      <x:c r="B129" s="16"/>
      <x:c r="C129" s="16"/>
      <x:c r="D129" s="18" t="str">
        <x:f>IFERROR(INDEX('Регистър на риска'!$I:$I,MATCH(A129,'Регистър на риска'!$A:$A,0)),"")</x:f>
      </x:c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8" t="str">
        <x:f t="shared" si="1"/>
      </x:c>
      <x:c r="O129" s="16"/>
    </x:row>
    <x:row r="130">
      <x:c r="A130" s="16"/>
      <x:c r="B130" s="16"/>
      <x:c r="C130" s="16"/>
      <x:c r="D130" s="18" t="str">
        <x:f>IFERROR(INDEX('Регистър на риска'!$I:$I,MATCH(A130,'Регистър на риска'!$A:$A,0)),"")</x:f>
      </x:c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8" t="str">
        <x:f t="shared" ref="N130:N193" si="2">IF(OR(L130="",M130=""),"",L130*M130)</x:f>
      </x:c>
      <x:c r="O130" s="16"/>
    </x:row>
    <x:row r="131">
      <x:c r="A131" s="16"/>
      <x:c r="B131" s="16"/>
      <x:c r="C131" s="16"/>
      <x:c r="D131" s="18" t="str">
        <x:f>IFERROR(INDEX('Регистър на риска'!$I:$I,MATCH(A131,'Регистър на риска'!$A:$A,0)),"")</x:f>
      </x:c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8" t="str">
        <x:f t="shared" si="2"/>
      </x:c>
      <x:c r="O131" s="16"/>
    </x:row>
    <x:row r="132">
      <x:c r="A132" s="16"/>
      <x:c r="B132" s="16"/>
      <x:c r="C132" s="16"/>
      <x:c r="D132" s="18" t="str">
        <x:f>IFERROR(INDEX('Регистър на риска'!$I:$I,MATCH(A132,'Регистър на риска'!$A:$A,0)),"")</x:f>
      </x:c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8" t="str">
        <x:f t="shared" si="2"/>
      </x:c>
      <x:c r="O132" s="16"/>
    </x:row>
    <x:row r="133">
      <x:c r="A133" s="16"/>
      <x:c r="B133" s="16"/>
      <x:c r="C133" s="16"/>
      <x:c r="D133" s="18" t="str">
        <x:f>IFERROR(INDEX('Регистър на риска'!$I:$I,MATCH(A133,'Регистър на риска'!$A:$A,0)),"")</x:f>
      </x:c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8" t="str">
        <x:f t="shared" si="2"/>
      </x:c>
      <x:c r="O133" s="16"/>
    </x:row>
    <x:row r="134">
      <x:c r="A134" s="16"/>
      <x:c r="B134" s="16"/>
      <x:c r="C134" s="16"/>
      <x:c r="D134" s="18" t="str">
        <x:f>IFERROR(INDEX('Регистър на риска'!$I:$I,MATCH(A134,'Регистър на риска'!$A:$A,0)),"")</x:f>
      </x:c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8" t="str">
        <x:f t="shared" si="2"/>
      </x:c>
      <x:c r="O134" s="16"/>
    </x:row>
    <x:row r="135">
      <x:c r="A135" s="16"/>
      <x:c r="B135" s="16"/>
      <x:c r="C135" s="16"/>
      <x:c r="D135" s="18" t="str">
        <x:f>IFERROR(INDEX('Регистър на риска'!$I:$I,MATCH(A135,'Регистър на риска'!$A:$A,0)),"")</x:f>
      </x:c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8" t="str">
        <x:f t="shared" si="2"/>
      </x:c>
      <x:c r="O135" s="16"/>
    </x:row>
    <x:row r="136">
      <x:c r="A136" s="16"/>
      <x:c r="B136" s="16"/>
      <x:c r="C136" s="16"/>
      <x:c r="D136" s="18" t="str">
        <x:f>IFERROR(INDEX('Регистър на риска'!$I:$I,MATCH(A136,'Регистър на риска'!$A:$A,0)),"")</x:f>
      </x:c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8" t="str">
        <x:f t="shared" si="2"/>
      </x:c>
      <x:c r="O136" s="16"/>
    </x:row>
    <x:row r="137">
      <x:c r="A137" s="16"/>
      <x:c r="B137" s="16"/>
      <x:c r="C137" s="16"/>
      <x:c r="D137" s="18" t="str">
        <x:f>IFERROR(INDEX('Регистър на риска'!$I:$I,MATCH(A137,'Регистър на риска'!$A:$A,0)),"")</x:f>
      </x:c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8" t="str">
        <x:f t="shared" si="2"/>
      </x:c>
      <x:c r="O137" s="16"/>
    </x:row>
    <x:row r="138">
      <x:c r="A138" s="16"/>
      <x:c r="B138" s="16"/>
      <x:c r="C138" s="16"/>
      <x:c r="D138" s="18" t="str">
        <x:f>IFERROR(INDEX('Регистър на риска'!$I:$I,MATCH(A138,'Регистър на риска'!$A:$A,0)),"")</x:f>
      </x:c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8" t="str">
        <x:f t="shared" si="2"/>
      </x:c>
      <x:c r="O138" s="16"/>
    </x:row>
    <x:row r="139">
      <x:c r="A139" s="16"/>
      <x:c r="B139" s="16"/>
      <x:c r="C139" s="16"/>
      <x:c r="D139" s="18" t="str">
        <x:f>IFERROR(INDEX('Регистър на риска'!$I:$I,MATCH(A139,'Регистър на риска'!$A:$A,0)),"")</x:f>
      </x:c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8" t="str">
        <x:f t="shared" si="2"/>
      </x:c>
      <x:c r="O139" s="16"/>
    </x:row>
    <x:row r="140">
      <x:c r="A140" s="16"/>
      <x:c r="B140" s="16"/>
      <x:c r="C140" s="16"/>
      <x:c r="D140" s="18" t="str">
        <x:f>IFERROR(INDEX('Регистър на риска'!$I:$I,MATCH(A140,'Регистър на риска'!$A:$A,0)),"")</x:f>
      </x:c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8" t="str">
        <x:f t="shared" si="2"/>
      </x:c>
      <x:c r="O140" s="16"/>
    </x:row>
    <x:row r="141">
      <x:c r="A141" s="16"/>
      <x:c r="B141" s="16"/>
      <x:c r="C141" s="16"/>
      <x:c r="D141" s="18" t="str">
        <x:f>IFERROR(INDEX('Регистър на риска'!$I:$I,MATCH(A141,'Регистър на риска'!$A:$A,0)),"")</x:f>
      </x:c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8" t="str">
        <x:f t="shared" si="2"/>
      </x:c>
      <x:c r="O141" s="16"/>
    </x:row>
    <x:row r="142">
      <x:c r="A142" s="16"/>
      <x:c r="B142" s="16"/>
      <x:c r="C142" s="16"/>
      <x:c r="D142" s="18" t="str">
        <x:f>IFERROR(INDEX('Регистър на риска'!$I:$I,MATCH(A142,'Регистър на риска'!$A:$A,0)),"")</x:f>
      </x:c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8" t="str">
        <x:f t="shared" si="2"/>
      </x:c>
      <x:c r="O142" s="16"/>
    </x:row>
    <x:row r="143">
      <x:c r="A143" s="16"/>
      <x:c r="B143" s="16"/>
      <x:c r="C143" s="16"/>
      <x:c r="D143" s="18" t="str">
        <x:f>IFERROR(INDEX('Регистър на риска'!$I:$I,MATCH(A143,'Регистър на риска'!$A:$A,0)),"")</x:f>
      </x:c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8" t="str">
        <x:f t="shared" si="2"/>
      </x:c>
      <x:c r="O143" s="16"/>
    </x:row>
    <x:row r="144">
      <x:c r="A144" s="16"/>
      <x:c r="B144" s="16"/>
      <x:c r="C144" s="16"/>
      <x:c r="D144" s="18" t="str">
        <x:f>IFERROR(INDEX('Регистър на риска'!$I:$I,MATCH(A144,'Регистър на риска'!$A:$A,0)),"")</x:f>
      </x:c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8" t="str">
        <x:f t="shared" si="2"/>
      </x:c>
      <x:c r="O144" s="16"/>
    </x:row>
    <x:row r="145">
      <x:c r="A145" s="16"/>
      <x:c r="B145" s="16"/>
      <x:c r="C145" s="16"/>
      <x:c r="D145" s="18" t="str">
        <x:f>IFERROR(INDEX('Регистър на риска'!$I:$I,MATCH(A145,'Регистър на риска'!$A:$A,0)),"")</x:f>
      </x:c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8" t="str">
        <x:f t="shared" si="2"/>
      </x:c>
      <x:c r="O145" s="16"/>
    </x:row>
    <x:row r="146">
      <x:c r="A146" s="16"/>
      <x:c r="B146" s="16"/>
      <x:c r="C146" s="16"/>
      <x:c r="D146" s="18" t="str">
        <x:f>IFERROR(INDEX('Регистър на риска'!$I:$I,MATCH(A146,'Регистър на риска'!$A:$A,0)),"")</x:f>
      </x:c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8" t="str">
        <x:f t="shared" si="2"/>
      </x:c>
      <x:c r="O146" s="16"/>
    </x:row>
    <x:row r="147">
      <x:c r="A147" s="16"/>
      <x:c r="B147" s="16"/>
      <x:c r="C147" s="16"/>
      <x:c r="D147" s="18" t="str">
        <x:f>IFERROR(INDEX('Регистър на риска'!$I:$I,MATCH(A147,'Регистър на риска'!$A:$A,0)),"")</x:f>
      </x:c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8" t="str">
        <x:f t="shared" si="2"/>
      </x:c>
      <x:c r="O147" s="16"/>
    </x:row>
    <x:row r="148">
      <x:c r="A148" s="16"/>
      <x:c r="B148" s="16"/>
      <x:c r="C148" s="16"/>
      <x:c r="D148" s="18" t="str">
        <x:f>IFERROR(INDEX('Регистър на риска'!$I:$I,MATCH(A148,'Регистър на риска'!$A:$A,0)),"")</x:f>
      </x:c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8" t="str">
        <x:f t="shared" si="2"/>
      </x:c>
      <x:c r="O148" s="16"/>
    </x:row>
    <x:row r="149">
      <x:c r="A149" s="16"/>
      <x:c r="B149" s="16"/>
      <x:c r="C149" s="16"/>
      <x:c r="D149" s="18" t="str">
        <x:f>IFERROR(INDEX('Регистър на риска'!$I:$I,MATCH(A149,'Регистър на риска'!$A:$A,0)),"")</x:f>
      </x:c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8" t="str">
        <x:f t="shared" si="2"/>
      </x:c>
      <x:c r="O149" s="16"/>
    </x:row>
    <x:row r="150">
      <x:c r="A150" s="16"/>
      <x:c r="B150" s="16"/>
      <x:c r="C150" s="16"/>
      <x:c r="D150" s="18" t="str">
        <x:f>IFERROR(INDEX('Регистър на риска'!$I:$I,MATCH(A150,'Регистър на риска'!$A:$A,0)),"")</x:f>
      </x:c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8" t="str">
        <x:f t="shared" si="2"/>
      </x:c>
      <x:c r="O150" s="16"/>
    </x:row>
    <x:row r="151">
      <x:c r="A151" s="16"/>
      <x:c r="B151" s="16"/>
      <x:c r="C151" s="16"/>
      <x:c r="D151" s="18" t="str">
        <x:f>IFERROR(INDEX('Регистър на риска'!$I:$I,MATCH(A151,'Регистър на риска'!$A:$A,0)),"")</x:f>
      </x:c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8" t="str">
        <x:f t="shared" si="2"/>
      </x:c>
      <x:c r="O151" s="16"/>
    </x:row>
    <x:row r="152">
      <x:c r="A152" s="16"/>
      <x:c r="B152" s="16"/>
      <x:c r="C152" s="16"/>
      <x:c r="D152" s="18" t="str">
        <x:f>IFERROR(INDEX('Регистър на риска'!$I:$I,MATCH(A152,'Регистър на риска'!$A:$A,0)),"")</x:f>
      </x:c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8" t="str">
        <x:f t="shared" si="2"/>
      </x:c>
      <x:c r="O152" s="16"/>
    </x:row>
    <x:row r="153">
      <x:c r="A153" s="16"/>
      <x:c r="B153" s="16"/>
      <x:c r="C153" s="16"/>
      <x:c r="D153" s="18" t="str">
        <x:f>IFERROR(INDEX('Регистър на риска'!$I:$I,MATCH(A153,'Регистър на риска'!$A:$A,0)),"")</x:f>
      </x:c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8" t="str">
        <x:f t="shared" si="2"/>
      </x:c>
      <x:c r="O153" s="16"/>
    </x:row>
    <x:row r="154">
      <x:c r="A154" s="16"/>
      <x:c r="B154" s="16"/>
      <x:c r="C154" s="16"/>
      <x:c r="D154" s="18" t="str">
        <x:f>IFERROR(INDEX('Регистър на риска'!$I:$I,MATCH(A154,'Регистър на риска'!$A:$A,0)),"")</x:f>
      </x:c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8" t="str">
        <x:f t="shared" si="2"/>
      </x:c>
      <x:c r="O154" s="16"/>
    </x:row>
    <x:row r="155">
      <x:c r="A155" s="16"/>
      <x:c r="B155" s="16"/>
      <x:c r="C155" s="16"/>
      <x:c r="D155" s="18" t="str">
        <x:f>IFERROR(INDEX('Регистър на риска'!$I:$I,MATCH(A155,'Регистър на риска'!$A:$A,0)),"")</x:f>
      </x:c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8" t="str">
        <x:f t="shared" si="2"/>
      </x:c>
      <x:c r="O155" s="16"/>
    </x:row>
    <x:row r="156">
      <x:c r="A156" s="16"/>
      <x:c r="B156" s="16"/>
      <x:c r="C156" s="16"/>
      <x:c r="D156" s="18" t="str">
        <x:f>IFERROR(INDEX('Регистър на риска'!$I:$I,MATCH(A156,'Регистър на риска'!$A:$A,0)),"")</x:f>
      </x:c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8" t="str">
        <x:f t="shared" si="2"/>
      </x:c>
      <x:c r="O156" s="16"/>
    </x:row>
    <x:row r="157">
      <x:c r="A157" s="16"/>
      <x:c r="B157" s="16"/>
      <x:c r="C157" s="16"/>
      <x:c r="D157" s="18" t="str">
        <x:f>IFERROR(INDEX('Регистър на риска'!$I:$I,MATCH(A157,'Регистър на риска'!$A:$A,0)),"")</x:f>
      </x:c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8" t="str">
        <x:f t="shared" si="2"/>
      </x:c>
      <x:c r="O157" s="16"/>
    </x:row>
    <x:row r="158">
      <x:c r="A158" s="16"/>
      <x:c r="B158" s="16"/>
      <x:c r="C158" s="16"/>
      <x:c r="D158" s="18" t="str">
        <x:f>IFERROR(INDEX('Регистър на риска'!$I:$I,MATCH(A158,'Регистър на риска'!$A:$A,0)),"")</x:f>
      </x:c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8" t="str">
        <x:f t="shared" si="2"/>
      </x:c>
      <x:c r="O158" s="16"/>
    </x:row>
    <x:row r="159">
      <x:c r="A159" s="16"/>
      <x:c r="B159" s="16"/>
      <x:c r="C159" s="16"/>
      <x:c r="D159" s="18" t="str">
        <x:f>IFERROR(INDEX('Регистър на риска'!$I:$I,MATCH(A159,'Регистър на риска'!$A:$A,0)),"")</x:f>
      </x:c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8" t="str">
        <x:f t="shared" si="2"/>
      </x:c>
      <x:c r="O159" s="16"/>
    </x:row>
    <x:row r="160">
      <x:c r="A160" s="16"/>
      <x:c r="B160" s="16"/>
      <x:c r="C160" s="16"/>
      <x:c r="D160" s="18" t="str">
        <x:f>IFERROR(INDEX('Регистър на риска'!$I:$I,MATCH(A160,'Регистър на риска'!$A:$A,0)),"")</x:f>
      </x:c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8" t="str">
        <x:f t="shared" si="2"/>
      </x:c>
      <x:c r="O160" s="16"/>
    </x:row>
    <x:row r="161">
      <x:c r="A161" s="16"/>
      <x:c r="B161" s="16"/>
      <x:c r="C161" s="16"/>
      <x:c r="D161" s="18" t="str">
        <x:f>IFERROR(INDEX('Регистър на риска'!$I:$I,MATCH(A161,'Регистър на риска'!$A:$A,0)),"")</x:f>
      </x:c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8" t="str">
        <x:f t="shared" si="2"/>
      </x:c>
      <x:c r="O161" s="16"/>
    </x:row>
    <x:row r="162">
      <x:c r="A162" s="16"/>
      <x:c r="B162" s="16"/>
      <x:c r="C162" s="16"/>
      <x:c r="D162" s="18" t="str">
        <x:f>IFERROR(INDEX('Регистър на риска'!$I:$I,MATCH(A162,'Регистър на риска'!$A:$A,0)),"")</x:f>
      </x:c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8" t="str">
        <x:f t="shared" si="2"/>
      </x:c>
      <x:c r="O162" s="16"/>
    </x:row>
    <x:row r="163">
      <x:c r="A163" s="16"/>
      <x:c r="B163" s="16"/>
      <x:c r="C163" s="16"/>
      <x:c r="D163" s="18" t="str">
        <x:f>IFERROR(INDEX('Регистър на риска'!$I:$I,MATCH(A163,'Регистър на риска'!$A:$A,0)),"")</x:f>
      </x:c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8" t="str">
        <x:f t="shared" si="2"/>
      </x:c>
      <x:c r="O163" s="16"/>
    </x:row>
    <x:row r="164">
      <x:c r="A164" s="16"/>
      <x:c r="B164" s="16"/>
      <x:c r="C164" s="16"/>
      <x:c r="D164" s="18" t="str">
        <x:f>IFERROR(INDEX('Регистър на риска'!$I:$I,MATCH(A164,'Регистър на риска'!$A:$A,0)),"")</x:f>
      </x:c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8" t="str">
        <x:f t="shared" si="2"/>
      </x:c>
      <x:c r="O164" s="16"/>
    </x:row>
    <x:row r="165">
      <x:c r="A165" s="16"/>
      <x:c r="B165" s="16"/>
      <x:c r="C165" s="16"/>
      <x:c r="D165" s="18" t="str">
        <x:f>IFERROR(INDEX('Регистър на риска'!$I:$I,MATCH(A165,'Регистър на риска'!$A:$A,0)),"")</x:f>
      </x:c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8" t="str">
        <x:f t="shared" si="2"/>
      </x:c>
      <x:c r="O165" s="16"/>
    </x:row>
    <x:row r="166">
      <x:c r="A166" s="16"/>
      <x:c r="B166" s="16"/>
      <x:c r="C166" s="16"/>
      <x:c r="D166" s="18" t="str">
        <x:f>IFERROR(INDEX('Регистър на риска'!$I:$I,MATCH(A166,'Регистър на риска'!$A:$A,0)),"")</x:f>
      </x:c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8" t="str">
        <x:f t="shared" si="2"/>
      </x:c>
      <x:c r="O166" s="16"/>
    </x:row>
    <x:row r="167">
      <x:c r="A167" s="16"/>
      <x:c r="B167" s="16"/>
      <x:c r="C167" s="16"/>
      <x:c r="D167" s="18" t="str">
        <x:f>IFERROR(INDEX('Регистър на риска'!$I:$I,MATCH(A167,'Регистър на риска'!$A:$A,0)),"")</x:f>
      </x:c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8" t="str">
        <x:f t="shared" si="2"/>
      </x:c>
      <x:c r="O167" s="16"/>
    </x:row>
    <x:row r="168">
      <x:c r="A168" s="16"/>
      <x:c r="B168" s="16"/>
      <x:c r="C168" s="16"/>
      <x:c r="D168" s="18" t="str">
        <x:f>IFERROR(INDEX('Регистър на риска'!$I:$I,MATCH(A168,'Регистър на риска'!$A:$A,0)),"")</x:f>
      </x:c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8" t="str">
        <x:f t="shared" si="2"/>
      </x:c>
      <x:c r="O168" s="16"/>
    </x:row>
    <x:row r="169">
      <x:c r="A169" s="16"/>
      <x:c r="B169" s="16"/>
      <x:c r="C169" s="16"/>
      <x:c r="D169" s="18" t="str">
        <x:f>IFERROR(INDEX('Регистър на риска'!$I:$I,MATCH(A169,'Регистър на риска'!$A:$A,0)),"")</x:f>
      </x:c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8" t="str">
        <x:f t="shared" si="2"/>
      </x:c>
      <x:c r="O169" s="16"/>
    </x:row>
    <x:row r="170">
      <x:c r="A170" s="16"/>
      <x:c r="B170" s="16"/>
      <x:c r="C170" s="16"/>
      <x:c r="D170" s="18" t="str">
        <x:f>IFERROR(INDEX('Регистър на риска'!$I:$I,MATCH(A170,'Регистър на риска'!$A:$A,0)),"")</x:f>
      </x:c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8" t="str">
        <x:f t="shared" si="2"/>
      </x:c>
      <x:c r="O170" s="16"/>
    </x:row>
    <x:row r="171">
      <x:c r="A171" s="16"/>
      <x:c r="B171" s="16"/>
      <x:c r="C171" s="16"/>
      <x:c r="D171" s="18" t="str">
        <x:f>IFERROR(INDEX('Регистър на риска'!$I:$I,MATCH(A171,'Регистър на риска'!$A:$A,0)),"")</x:f>
      </x:c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8" t="str">
        <x:f t="shared" si="2"/>
      </x:c>
      <x:c r="O171" s="16"/>
    </x:row>
    <x:row r="172">
      <x:c r="A172" s="16"/>
      <x:c r="B172" s="16"/>
      <x:c r="C172" s="16"/>
      <x:c r="D172" s="18" t="str">
        <x:f>IFERROR(INDEX('Регистър на риска'!$I:$I,MATCH(A172,'Регистър на риска'!$A:$A,0)),"")</x:f>
      </x:c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8" t="str">
        <x:f t="shared" si="2"/>
      </x:c>
      <x:c r="O172" s="16"/>
    </x:row>
    <x:row r="173">
      <x:c r="A173" s="16"/>
      <x:c r="B173" s="16"/>
      <x:c r="C173" s="16"/>
      <x:c r="D173" s="18" t="str">
        <x:f>IFERROR(INDEX('Регистър на риска'!$I:$I,MATCH(A173,'Регистър на риска'!$A:$A,0)),"")</x:f>
      </x:c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8" t="str">
        <x:f t="shared" si="2"/>
      </x:c>
      <x:c r="O173" s="16"/>
    </x:row>
    <x:row r="174">
      <x:c r="A174" s="16"/>
      <x:c r="B174" s="16"/>
      <x:c r="C174" s="16"/>
      <x:c r="D174" s="18" t="str">
        <x:f>IFERROR(INDEX('Регистър на риска'!$I:$I,MATCH(A174,'Регистър на риска'!$A:$A,0)),"")</x:f>
      </x:c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8" t="str">
        <x:f t="shared" si="2"/>
      </x:c>
      <x:c r="O174" s="16"/>
    </x:row>
    <x:row r="175">
      <x:c r="A175" s="16"/>
      <x:c r="B175" s="16"/>
      <x:c r="C175" s="16"/>
      <x:c r="D175" s="18" t="str">
        <x:f>IFERROR(INDEX('Регистър на риска'!$I:$I,MATCH(A175,'Регистър на риска'!$A:$A,0)),"")</x:f>
      </x:c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8" t="str">
        <x:f t="shared" si="2"/>
      </x:c>
      <x:c r="O175" s="16"/>
    </x:row>
    <x:row r="176">
      <x:c r="A176" s="16"/>
      <x:c r="B176" s="16"/>
      <x:c r="C176" s="16"/>
      <x:c r="D176" s="18" t="str">
        <x:f>IFERROR(INDEX('Регистър на риска'!$I:$I,MATCH(A176,'Регистър на риска'!$A:$A,0)),"")</x:f>
      </x:c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8" t="str">
        <x:f t="shared" si="2"/>
      </x:c>
      <x:c r="O176" s="16"/>
    </x:row>
    <x:row r="177">
      <x:c r="A177" s="16"/>
      <x:c r="B177" s="16"/>
      <x:c r="C177" s="16"/>
      <x:c r="D177" s="18" t="str">
        <x:f>IFERROR(INDEX('Регистър на риска'!$I:$I,MATCH(A177,'Регистър на риска'!$A:$A,0)),"")</x:f>
      </x:c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8" t="str">
        <x:f t="shared" si="2"/>
      </x:c>
      <x:c r="O177" s="16"/>
    </x:row>
    <x:row r="178">
      <x:c r="A178" s="16"/>
      <x:c r="B178" s="16"/>
      <x:c r="C178" s="16"/>
      <x:c r="D178" s="18" t="str">
        <x:f>IFERROR(INDEX('Регистър на риска'!$I:$I,MATCH(A178,'Регистър на риска'!$A:$A,0)),"")</x:f>
      </x:c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8" t="str">
        <x:f t="shared" si="2"/>
      </x:c>
      <x:c r="O178" s="16"/>
    </x:row>
    <x:row r="179">
      <x:c r="A179" s="16"/>
      <x:c r="B179" s="16"/>
      <x:c r="C179" s="16"/>
      <x:c r="D179" s="18" t="str">
        <x:f>IFERROR(INDEX('Регистър на риска'!$I:$I,MATCH(A179,'Регистър на риска'!$A:$A,0)),"")</x:f>
      </x:c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8" t="str">
        <x:f t="shared" si="2"/>
      </x:c>
      <x:c r="O179" s="16"/>
    </x:row>
    <x:row r="180">
      <x:c r="A180" s="16"/>
      <x:c r="B180" s="16"/>
      <x:c r="C180" s="16"/>
      <x:c r="D180" s="18" t="str">
        <x:f>IFERROR(INDEX('Регистър на риска'!$I:$I,MATCH(A180,'Регистър на риска'!$A:$A,0)),"")</x:f>
      </x:c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8" t="str">
        <x:f t="shared" si="2"/>
      </x:c>
      <x:c r="O180" s="16"/>
    </x:row>
    <x:row r="181">
      <x:c r="A181" s="16"/>
      <x:c r="B181" s="16"/>
      <x:c r="C181" s="16"/>
      <x:c r="D181" s="18" t="str">
        <x:f>IFERROR(INDEX('Регистър на риска'!$I:$I,MATCH(A181,'Регистър на риска'!$A:$A,0)),"")</x:f>
      </x:c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8" t="str">
        <x:f t="shared" si="2"/>
      </x:c>
      <x:c r="O181" s="16"/>
    </x:row>
    <x:row r="182">
      <x:c r="A182" s="16"/>
      <x:c r="B182" s="16"/>
      <x:c r="C182" s="16"/>
      <x:c r="D182" s="18" t="str">
        <x:f>IFERROR(INDEX('Регистър на риска'!$I:$I,MATCH(A182,'Регистър на риска'!$A:$A,0)),"")</x:f>
      </x:c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8" t="str">
        <x:f t="shared" si="2"/>
      </x:c>
      <x:c r="O182" s="16"/>
    </x:row>
    <x:row r="183">
      <x:c r="A183" s="16"/>
      <x:c r="B183" s="16"/>
      <x:c r="C183" s="16"/>
      <x:c r="D183" s="18" t="str">
        <x:f>IFERROR(INDEX('Регистър на риска'!$I:$I,MATCH(A183,'Регистър на риска'!$A:$A,0)),"")</x:f>
      </x:c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8" t="str">
        <x:f t="shared" si="2"/>
      </x:c>
      <x:c r="O183" s="16"/>
    </x:row>
    <x:row r="184">
      <x:c r="A184" s="16"/>
      <x:c r="B184" s="16"/>
      <x:c r="C184" s="16"/>
      <x:c r="D184" s="18" t="str">
        <x:f>IFERROR(INDEX('Регистър на риска'!$I:$I,MATCH(A184,'Регистър на риска'!$A:$A,0)),"")</x:f>
      </x:c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8" t="str">
        <x:f t="shared" si="2"/>
      </x:c>
      <x:c r="O184" s="16"/>
    </x:row>
    <x:row r="185">
      <x:c r="A185" s="16"/>
      <x:c r="B185" s="16"/>
      <x:c r="C185" s="16"/>
      <x:c r="D185" s="18" t="str">
        <x:f>IFERROR(INDEX('Регистър на риска'!$I:$I,MATCH(A185,'Регистър на риска'!$A:$A,0)),"")</x:f>
      </x:c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8" t="str">
        <x:f t="shared" si="2"/>
      </x:c>
      <x:c r="O185" s="16"/>
    </x:row>
    <x:row r="186">
      <x:c r="A186" s="16"/>
      <x:c r="B186" s="16"/>
      <x:c r="C186" s="16"/>
      <x:c r="D186" s="18" t="str">
        <x:f>IFERROR(INDEX('Регистър на риска'!$I:$I,MATCH(A186,'Регистър на риска'!$A:$A,0)),"")</x:f>
      </x:c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8" t="str">
        <x:f t="shared" si="2"/>
      </x:c>
      <x:c r="O186" s="16"/>
    </x:row>
    <x:row r="187">
      <x:c r="A187" s="16"/>
      <x:c r="B187" s="16"/>
      <x:c r="C187" s="16"/>
      <x:c r="D187" s="18" t="str">
        <x:f>IFERROR(INDEX('Регистър на риска'!$I:$I,MATCH(A187,'Регистър на риска'!$A:$A,0)),"")</x:f>
      </x:c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8" t="str">
        <x:f t="shared" si="2"/>
      </x:c>
      <x:c r="O187" s="16"/>
    </x:row>
    <x:row r="188">
      <x:c r="A188" s="16"/>
      <x:c r="B188" s="16"/>
      <x:c r="C188" s="16"/>
      <x:c r="D188" s="18" t="str">
        <x:f>IFERROR(INDEX('Регистър на риска'!$I:$I,MATCH(A188,'Регистър на риска'!$A:$A,0)),"")</x:f>
      </x:c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8" t="str">
        <x:f t="shared" si="2"/>
      </x:c>
      <x:c r="O188" s="16"/>
    </x:row>
    <x:row r="189">
      <x:c r="A189" s="16"/>
      <x:c r="B189" s="16"/>
      <x:c r="C189" s="16"/>
      <x:c r="D189" s="18" t="str">
        <x:f>IFERROR(INDEX('Регистър на риска'!$I:$I,MATCH(A189,'Регистър на риска'!$A:$A,0)),"")</x:f>
      </x:c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8" t="str">
        <x:f t="shared" si="2"/>
      </x:c>
      <x:c r="O189" s="16"/>
    </x:row>
    <x:row r="190">
      <x:c r="A190" s="16"/>
      <x:c r="B190" s="16"/>
      <x:c r="C190" s="16"/>
      <x:c r="D190" s="18" t="str">
        <x:f>IFERROR(INDEX('Регистър на риска'!$I:$I,MATCH(A190,'Регистър на риска'!$A:$A,0)),"")</x:f>
      </x:c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8" t="str">
        <x:f t="shared" si="2"/>
      </x:c>
      <x:c r="O190" s="16"/>
    </x:row>
    <x:row r="191">
      <x:c r="A191" s="16"/>
      <x:c r="B191" s="16"/>
      <x:c r="C191" s="16"/>
      <x:c r="D191" s="18" t="str">
        <x:f>IFERROR(INDEX('Регистър на риска'!$I:$I,MATCH(A191,'Регистър на риска'!$A:$A,0)),"")</x:f>
      </x:c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8" t="str">
        <x:f t="shared" si="2"/>
      </x:c>
      <x:c r="O191" s="16"/>
    </x:row>
    <x:row r="192">
      <x:c r="A192" s="16"/>
      <x:c r="B192" s="16"/>
      <x:c r="C192" s="16"/>
      <x:c r="D192" s="18" t="str">
        <x:f>IFERROR(INDEX('Регистър на риска'!$I:$I,MATCH(A192,'Регистър на риска'!$A:$A,0)),"")</x:f>
      </x:c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8" t="str">
        <x:f t="shared" si="2"/>
      </x:c>
      <x:c r="O192" s="16"/>
    </x:row>
    <x:row r="193">
      <x:c r="A193" s="16"/>
      <x:c r="B193" s="16"/>
      <x:c r="C193" s="16"/>
      <x:c r="D193" s="18" t="str">
        <x:f>IFERROR(INDEX('Регистър на риска'!$I:$I,MATCH(A193,'Регистър на риска'!$A:$A,0)),"")</x:f>
      </x:c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8" t="str">
        <x:f t="shared" si="2"/>
      </x:c>
      <x:c r="O193" s="16"/>
    </x:row>
    <x:row r="194">
      <x:c r="A194" s="16"/>
      <x:c r="B194" s="16"/>
      <x:c r="C194" s="16"/>
      <x:c r="D194" s="18" t="str">
        <x:f>IFERROR(INDEX('Регистър на риска'!$I:$I,MATCH(A194,'Регистър на риска'!$A:$A,0)),"")</x:f>
      </x:c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8" t="str">
        <x:f t="shared" ref="N194:N210" si="3">IF(OR(L194="",M194=""),"",L194*M194)</x:f>
      </x:c>
      <x:c r="O194" s="16"/>
    </x:row>
    <x:row r="195">
      <x:c r="A195" s="16"/>
      <x:c r="B195" s="16"/>
      <x:c r="C195" s="16"/>
      <x:c r="D195" s="18" t="str">
        <x:f>IFERROR(INDEX('Регистър на риска'!$I:$I,MATCH(A195,'Регистър на риска'!$A:$A,0)),"")</x:f>
      </x:c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8" t="str">
        <x:f t="shared" si="3"/>
      </x:c>
      <x:c r="O195" s="16"/>
    </x:row>
    <x:row r="196">
      <x:c r="A196" s="16"/>
      <x:c r="B196" s="16"/>
      <x:c r="C196" s="16"/>
      <x:c r="D196" s="18" t="str">
        <x:f>IFERROR(INDEX('Регистър на риска'!$I:$I,MATCH(A196,'Регистър на риска'!$A:$A,0)),"")</x:f>
      </x:c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8" t="str">
        <x:f t="shared" si="3"/>
      </x:c>
      <x:c r="O196" s="16"/>
    </x:row>
    <x:row r="197">
      <x:c r="A197" s="16"/>
      <x:c r="B197" s="16"/>
      <x:c r="C197" s="16"/>
      <x:c r="D197" s="18" t="str">
        <x:f>IFERROR(INDEX('Регистър на риска'!$I:$I,MATCH(A197,'Регистър на риска'!$A:$A,0)),"")</x:f>
      </x:c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8" t="str">
        <x:f t="shared" si="3"/>
      </x:c>
      <x:c r="O197" s="16"/>
    </x:row>
    <x:row r="198">
      <x:c r="A198" s="16"/>
      <x:c r="B198" s="16"/>
      <x:c r="C198" s="16"/>
      <x:c r="D198" s="18" t="str">
        <x:f>IFERROR(INDEX('Регистър на риска'!$I:$I,MATCH(A198,'Регистър на риска'!$A:$A,0)),"")</x:f>
      </x:c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8" t="str">
        <x:f t="shared" si="3"/>
      </x:c>
      <x:c r="O198" s="16"/>
    </x:row>
    <x:row r="199">
      <x:c r="A199" s="16"/>
      <x:c r="B199" s="16"/>
      <x:c r="C199" s="16"/>
      <x:c r="D199" s="18" t="str">
        <x:f>IFERROR(INDEX('Регистър на риска'!$I:$I,MATCH(A199,'Регистър на риска'!$A:$A,0)),"")</x:f>
      </x:c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8" t="str">
        <x:f t="shared" si="3"/>
      </x:c>
      <x:c r="O199" s="16"/>
    </x:row>
    <x:row r="200">
      <x:c r="A200" s="16"/>
      <x:c r="B200" s="16"/>
      <x:c r="C200" s="16"/>
      <x:c r="D200" s="18" t="str">
        <x:f>IFERROR(INDEX('Регистър на риска'!$I:$I,MATCH(A200,'Регистър на риска'!$A:$A,0)),"")</x:f>
      </x:c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8" t="str">
        <x:f t="shared" si="3"/>
      </x:c>
      <x:c r="O200" s="16"/>
    </x:row>
    <x:row r="201">
      <x:c r="A201" s="16"/>
      <x:c r="B201" s="16"/>
      <x:c r="C201" s="16"/>
      <x:c r="D201" s="18" t="str">
        <x:f>IFERROR(INDEX('Регистър на риска'!$I:$I,MATCH(A201,'Регистър на риска'!$A:$A,0)),"")</x:f>
      </x:c>
      <x:c r="E201" s="16"/>
      <x:c r="F201" s="16"/>
      <x:c r="G201" s="16"/>
      <x:c r="H201" s="16"/>
      <x:c r="I201" s="16"/>
      <x:c r="J201" s="16"/>
      <x:c r="K201" s="16"/>
      <x:c r="L201" s="16"/>
      <x:c r="M201" s="16"/>
      <x:c r="N201" s="18" t="str">
        <x:f t="shared" si="3"/>
      </x:c>
      <x:c r="O201" s="16"/>
    </x:row>
    <x:row r="202">
      <x:c r="A202" s="16"/>
      <x:c r="B202" s="16"/>
      <x:c r="C202" s="16"/>
      <x:c r="D202" s="18" t="str">
        <x:f>IFERROR(INDEX('Регистър на риска'!$I:$I,MATCH(A202,'Регистър на риска'!$A:$A,0)),"")</x:f>
      </x:c>
      <x:c r="E202" s="16"/>
      <x:c r="F202" s="16"/>
      <x:c r="G202" s="16"/>
      <x:c r="H202" s="16"/>
      <x:c r="I202" s="16"/>
      <x:c r="J202" s="16"/>
      <x:c r="K202" s="16"/>
      <x:c r="L202" s="16"/>
      <x:c r="M202" s="16"/>
      <x:c r="N202" s="18" t="str">
        <x:f t="shared" si="3"/>
      </x:c>
      <x:c r="O202" s="16"/>
    </x:row>
    <x:row r="203">
      <x:c r="A203" s="16"/>
      <x:c r="B203" s="16"/>
      <x:c r="C203" s="16"/>
      <x:c r="D203" s="18" t="str">
        <x:f>IFERROR(INDEX('Регистър на риска'!$I:$I,MATCH(A203,'Регистър на риска'!$A:$A,0)),"")</x:f>
      </x:c>
      <x:c r="E203" s="16"/>
      <x:c r="F203" s="16"/>
      <x:c r="G203" s="16"/>
      <x:c r="H203" s="16"/>
      <x:c r="I203" s="16"/>
      <x:c r="J203" s="16"/>
      <x:c r="K203" s="16"/>
      <x:c r="L203" s="16"/>
      <x:c r="M203" s="16"/>
      <x:c r="N203" s="18" t="str">
        <x:f t="shared" si="3"/>
      </x:c>
      <x:c r="O203" s="16"/>
    </x:row>
    <x:row r="204">
      <x:c r="D204" t="str">
        <x:f>IFERROR(INDEX('Регистър на риска'!$I:$I,MATCH(A204,'Регистър на риска'!$A:$A,0)),"")</x:f>
      </x:c>
      <x:c r="N204" t="str">
        <x:f t="shared" si="3"/>
      </x:c>
    </x:row>
    <x:row r="205">
      <x:c r="D205" t="str">
        <x:f>IFERROR(INDEX('Регистър на риска'!$I:$I,MATCH(A205,'Регистър на риска'!$A:$A,0)),"")</x:f>
      </x:c>
      <x:c r="N205" t="str">
        <x:f t="shared" si="3"/>
      </x:c>
    </x:row>
    <x:row r="206">
      <x:c r="D206" t="str">
        <x:f>IFERROR(INDEX('Регистър на риска'!$I:$I,MATCH(A206,'Регистър на риска'!$A:$A,0)),"")</x:f>
      </x:c>
      <x:c r="N206" t="str">
        <x:f t="shared" si="3"/>
      </x:c>
    </x:row>
    <x:row r="207">
      <x:c r="D207" t="str">
        <x:f>IFERROR(INDEX('Регистър на риска'!$I:$I,MATCH(A207,'Регистър на риска'!$A:$A,0)),"")</x:f>
      </x:c>
      <x:c r="N207" t="str">
        <x:f t="shared" si="3"/>
      </x:c>
    </x:row>
    <x:row r="208">
      <x:c r="D208" t="str">
        <x:f>IFERROR(INDEX('Регистър на риска'!$I:$I,MATCH(A208,'Регистър на риска'!$A:$A,0)),"")</x:f>
      </x:c>
      <x:c r="N208" t="str">
        <x:f t="shared" si="3"/>
      </x:c>
    </x:row>
    <x:row r="209">
      <x:c r="D209" t="str">
        <x:f>IFERROR(INDEX('Регистър на риска'!$I:$I,MATCH(A209,'Регистър на риска'!$A:$A,0)),"")</x:f>
      </x:c>
      <x:c r="N209" t="str">
        <x:f t="shared" si="3"/>
      </x:c>
    </x:row>
    <x:row r="210">
      <x:c r="D210" t="str">
        <x:f>IFERROR(INDEX('Регистър на риска'!$I:$I,MATCH(A210,'Регистър на риска'!$A:$A,0)),"")</x:f>
      </x:c>
      <x:c r="N210" t="str">
        <x:f t="shared" si="3"/>
      </x:c>
    </x:row>
  </x:sheetData>
  <x:conditionalFormatting sqref="D2:D210">
    <x:cfRule type="cellIs" dxfId="7" priority="2" operator="between">
      <x:formula>1</x:formula>
      <x:formula>4</x:formula>
    </x:cfRule>
    <x:cfRule type="cellIs" dxfId="6" priority="3" operator="between">
      <x:formula>5</x:formula>
      <x:formula>9</x:formula>
    </x:cfRule>
    <x:cfRule type="cellIs" dxfId="5" priority="4" operator="between">
      <x:formula>10</x:formula>
      <x:formula>15</x:formula>
    </x:cfRule>
    <x:cfRule type="cellIs" dxfId="4" priority="5" operator="between">
      <x:formula>16</x:formula>
      <x:formula>25</x:formula>
    </x:cfRule>
  </x:conditionalFormatting>
  <x:conditionalFormatting sqref="N2:N210">
    <x:cfRule type="cellIs" dxfId="3" priority="6" operator="between">
      <x:formula>1</x:formula>
      <x:formula>4</x:formula>
    </x:cfRule>
    <x:cfRule type="cellIs" dxfId="2" priority="7" operator="between">
      <x:formula>5</x:formula>
      <x:formula>9</x:formula>
    </x:cfRule>
    <x:cfRule type="cellIs" dxfId="1" priority="8" operator="between">
      <x:formula>10</x:formula>
      <x:formula>15</x:formula>
    </x:cfRule>
    <x:cfRule type="cellIs" dxfId="0" priority="9" operator="between">
      <x:formula>16</x:formula>
      <x:formula>25</x:formula>
    </x:cfRule>
  </x:conditionalFormatting>
  <x:dataValidations count="3">
    <x:dataValidation type="list" allowBlank="1" sqref="E2:E210">
      <x:formula1>"намаляване,прехвърляне,избягване,приемане"</x:formula1>
      <x:formula2>0</x:formula2>
    </x:dataValidation>
    <x:dataValidation type="list" allowBlank="1" sqref="K2:K210">
      <x:formula1>"планиран,в процес,внедрен,приет"</x:formula1>
      <x:formula2>0</x:formula2>
    </x:dataValidation>
    <x:dataValidation type="list" allowBlank="1" sqref="L2:M210">
      <x:formula1>"1,2,3,4,5"</x:formula1>
      <x:formula2>0</x:formula2>
    </x:dataValidation>
  </x:dataValidations>
  <x:pageMargins left="0.7" right="0.7" top="0.75" bottom="0.75" header="0.3" footer="0.3"/>
</x:worksheet>
</file>